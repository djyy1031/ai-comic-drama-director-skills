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b53fa2ab7804f8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项目总览" sheetId="1" r:id="R7f279d8c731441b7"/>
    <x:sheet xmlns:r="http://schemas.openxmlformats.org/officeDocument/2006/relationships" name="母资产总表" sheetId="2" r:id="R1bc69f3dd08c48a6"/>
    <x:sheet xmlns:r="http://schemas.openxmlformats.org/officeDocument/2006/relationships" name="场景机位矩阵" sheetId="3" r:id="R0c841f51790844ea"/>
    <x:sheet xmlns:r="http://schemas.openxmlformats.org/officeDocument/2006/relationships" name="分镜组资产矩阵" sheetId="4" r:id="Rbf72ca30280347b4"/>
    <x:sheet xmlns:r="http://schemas.openxmlformats.org/officeDocument/2006/relationships" name="子资产生产清单" sheetId="5" r:id="R8adeaa5cf1c4400c"/>
    <x:sheet xmlns:r="http://schemas.openxmlformats.org/officeDocument/2006/relationships" name="视频输入包" sheetId="6" r:id="Rfe12cf3945dc4045"/>
    <x:sheet xmlns:r="http://schemas.openxmlformats.org/officeDocument/2006/relationships" name="分集声音执行表" sheetId="7" r:id="R025df66a6196481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&quot; 秒&quot;"/>
  </x:numFmts>
  <x:fonts count="8">
    <x:font>
      <x:sz val="11"/>
      <x:name val="Carlito"/>
    </x:font>
    <x:font>
      <x:b/>
      <x:sz val="17"/>
      <x:color rgb="FFFFFFFF"/>
      <x:name val="Carlito"/>
    </x:font>
    <x:font>
      <x:b/>
      <x:sz val="11"/>
      <x:color rgb="FFFFFFFF"/>
      <x:name val="Carlito"/>
    </x:font>
    <x:font>
      <x:b/>
      <x:sz val="15"/>
      <x:color rgb="FFFFFFFF"/>
      <x:name val="Carlito"/>
    </x:font>
    <x:font>
      <x:b/>
      <x:sz val="17"/>
      <x:color rgb="FFFFFFFF"/>
      <x:name val="Microsoft YaHei"/>
    </x:font>
    <x:font>
      <x:sz val="11"/>
      <x:name val="Microsoft YaHei"/>
    </x:font>
    <x:font>
      <x:b/>
      <x:sz val="11"/>
      <x:color rgb="FFFFFFFF"/>
      <x:name val="Microsoft YaHei"/>
    </x:font>
    <x:font>
      <x:b/>
      <x:sz val="15"/>
      <x:color rgb="FFFFFFFF"/>
      <x:name val="Microsoft YaHei"/>
    </x:font>
  </x:fonts>
  <x:fills count="6">
    <x:fill>
      <x:patternFill patternType="none"/>
    </x:fill>
    <x:fill>
      <x:patternFill patternType="gray125"/>
    </x:fill>
    <x:fill>
      <x:patternFill patternType="solid">
        <x:fgColor rgb="FF0F172A"/>
      </x:patternFill>
    </x:fill>
    <x:fill>
      <x:patternFill patternType="solid">
        <x:fgColor rgb="FF1D4ED8"/>
      </x:patternFill>
    </x:fill>
    <x:fill>
      <x:patternFill patternType="solid">
        <x:fgColor rgb="FFF8FAFC"/>
      </x:patternFill>
    </x:fill>
    <x:fill>
      <x:patternFill patternType="solid">
        <x:fgColor rgb="FFEFF6FF"/>
      </x:patternFill>
    </x:fill>
  </x:fills>
  <x:borders count="10">
    <x:border/>
    <x:border>
      <x:left style="thin">
        <x:color rgb="FFCBD5E1"/>
      </x:left>
      <x:right style="thin">
        <x:color rgb="FFCBD5E1"/>
      </x:right>
      <x:top style="thin">
        <x:color rgb="FFCBD5E1"/>
      </x:top>
    </x:border>
    <x:border>
      <x:left style="thin">
        <x:color rgb="FFCBD5E1"/>
      </x:left>
      <x:right style="thin">
        <x:color rgb="FFCBD5E1"/>
      </x:right>
    </x:border>
    <x:border>
      <x:left style="thin">
        <x:color rgb="FFCBD5E1"/>
      </x:left>
      <x:right style="thin">
        <x:color rgb="FFCBD5E1"/>
      </x:right>
      <x:bottom style="thin">
        <x:color rgb="FFCBD5E1"/>
      </x:bottom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  <x:border>
      <x:bottom style="thin">
        <x:color rgb="FFE2E8F0"/>
      </x:bottom>
    </x:border>
    <x:border>
      <x:top style="thin">
        <x:color rgb="FFE2E8F0"/>
      </x:top>
      <x:bottom style="thin">
        <x:color rgb="FFE2E8F0"/>
      </x:bottom>
    </x:border>
    <x:border>
      <x:top style="thin">
        <x:color rgb="FFE2E8F0"/>
      </x:top>
      <x:bottom style="thin">
        <x:color rgb="FFCBD5E1"/>
      </x:bottom>
    </x:border>
  </x:borders>
  <x:cellStyleXfs count="1">
    <x:xf numFmtId="0" fontId="0" fillId="0" borderId="0"/>
  </x:cellStyleXfs>
  <x:cellXfs count="5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0" fillId="4" borderId="1" xfId="0" applyNumberFormat="1" applyFont="1" applyFill="1" applyBorder="1"/>
    <x:xf numFmtId="0" fontId="0" fillId="4" borderId="2" xfId="0" applyNumberFormat="1" applyFont="1" applyFill="1" applyBorder="1"/>
    <x:xf numFmtId="0" fontId="0" fillId="4" borderId="3" xfId="0" applyNumberFormat="1" applyFont="1" applyFill="1" applyBorder="1"/>
    <x:xf numFmtId="200" fontId="0" fillId="4" borderId="2" xfId="0" applyNumberFormat="1" applyFont="1" applyFill="1" applyBorder="1"/>
    <x:xf numFmtId="0" fontId="2" fillId="2" borderId="0" xfId="0" applyNumberFormat="1" applyFont="1" applyFill="1" applyBorder="1"/>
    <x:xf numFmtId="0" fontId="0" fillId="5" borderId="0" xfId="0" applyNumberFormat="1" applyFont="1" applyFill="1" applyBorder="1"/>
    <x:xf numFmtId="0" fontId="0" fillId="5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vertical="center"/>
    </x:xf>
    <x:xf numFmtId="0" fontId="2" fillId="3" borderId="4" xfId="0" applyNumberFormat="1" applyFont="1" applyFill="1" applyBorder="1"/>
    <x:xf numFmtId="0" fontId="2" fillId="3" borderId="5" xfId="0" applyNumberFormat="1" applyFont="1" applyFill="1" applyBorder="1"/>
    <x:xf numFmtId="0" fontId="2" fillId="3" borderId="6" xfId="0" applyNumberFormat="1" applyFont="1" applyFill="1" applyBorder="1"/>
    <x:xf numFmtId="0" fontId="2" fillId="3" borderId="4" xfId="0" applyNumberFormat="1" applyFont="1" applyFill="1" applyBorder="1" applyAlignment="1">
      <x:alignment wrapText="1"/>
    </x:xf>
    <x:xf numFmtId="0" fontId="2" fillId="3" borderId="5" xfId="0" applyNumberFormat="1" applyFont="1" applyFill="1" applyBorder="1" applyAlignment="1">
      <x:alignment wrapText="1"/>
    </x:xf>
    <x:xf numFmtId="0" fontId="2" fillId="3" borderId="6" xfId="0" applyNumberFormat="1" applyFont="1" applyFill="1" applyBorder="1" applyAlignment="1">
      <x:alignment wrapText="1"/>
    </x:xf>
    <x:xf numFmtId="0" fontId="2" fillId="3" borderId="4" xfId="0" applyNumberFormat="1" applyFont="1" applyFill="1" applyBorder="1" applyAlignment="1">
      <x:alignment vertical="center" wrapText="1"/>
    </x:xf>
    <x:xf numFmtId="0" fontId="2" fillId="3" borderId="5" xfId="0" applyNumberFormat="1" applyFont="1" applyFill="1" applyBorder="1" applyAlignment="1">
      <x:alignment vertical="center" wrapText="1"/>
    </x:xf>
    <x:xf numFmtId="0" fontId="2" fillId="3" borderId="6" xfId="0" applyNumberFormat="1" applyFont="1" applyFill="1" applyBorder="1" applyAlignment="1">
      <x:alignment vertical="center" wrapText="1"/>
    </x:xf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7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vertical="top" wrapText="1"/>
    </x:xf>
    <x:xf numFmtId="0" fontId="0" fillId="0" borderId="8" xfId="0" applyNumberFormat="1" applyFont="1" applyFill="1" applyBorder="1" applyAlignment="1">
      <x:alignment vertical="top" wrapText="1"/>
    </x:xf>
    <x:xf numFmtId="0" fontId="0" fillId="0" borderId="9" xfId="0" applyNumberFormat="1" applyFont="1" applyFill="1" applyBorder="1" applyAlignment="1">
      <x:alignment vertical="top" wrapText="1"/>
    </x:xf>
    <x:xf numFmtId="0" fontId="0" fillId="5" borderId="7" xfId="0" applyNumberFormat="1" applyFont="1" applyFill="1" applyBorder="1" applyAlignment="1">
      <x:alignment vertical="top" wrapText="1"/>
    </x:xf>
    <x:xf numFmtId="0" fontId="4" fillId="2" borderId="0" xfId="0" applyNumberFormat="1" applyFont="1" applyFill="1" applyBorder="1" applyAlignment="1">
      <x:alignment vertical="center"/>
    </x:xf>
    <x:xf numFmtId="0" fontId="5" fillId="0" borderId="0" xfId="0" applyNumberFormat="1" applyFont="1" applyFill="1" applyBorder="1"/>
    <x:xf numFmtId="0" fontId="6" fillId="3" borderId="0" xfId="0" applyNumberFormat="1" applyFont="1" applyFill="1" applyBorder="1"/>
    <x:xf numFmtId="0" fontId="5" fillId="4" borderId="1" xfId="0" applyNumberFormat="1" applyFont="1" applyFill="1" applyBorder="1"/>
    <x:xf numFmtId="0" fontId="5" fillId="4" borderId="2" xfId="0" applyNumberFormat="1" applyFont="1" applyFill="1" applyBorder="1"/>
    <x:xf numFmtId="200" fontId="5" fillId="4" borderId="2" xfId="0" applyNumberFormat="1" applyFont="1" applyFill="1" applyBorder="1"/>
    <x:xf numFmtId="0" fontId="5" fillId="4" borderId="3" xfId="0" applyNumberFormat="1" applyFont="1" applyFill="1" applyBorder="1"/>
    <x:xf numFmtId="0" fontId="6" fillId="2" borderId="0" xfId="0" applyNumberFormat="1" applyFont="1" applyFill="1" applyBorder="1"/>
    <x:xf numFmtId="0" fontId="5" fillId="5" borderId="0" xfId="0" applyNumberFormat="1" applyFont="1" applyFill="1" applyBorder="1" applyAlignment="1">
      <x:alignment wrapText="1"/>
    </x:xf>
    <x:xf numFmtId="0" fontId="7" fillId="2" borderId="0" xfId="0" applyNumberFormat="1" applyFont="1" applyFill="1" applyBorder="1" applyAlignment="1">
      <x:alignment vertical="center"/>
    </x:xf>
    <x:xf numFmtId="0" fontId="6" fillId="3" borderId="4" xfId="0" applyNumberFormat="1" applyFont="1" applyFill="1" applyBorder="1" applyAlignment="1">
      <x:alignment vertical="center" wrapText="1"/>
    </x:xf>
    <x:xf numFmtId="0" fontId="6" fillId="3" borderId="5" xfId="0" applyNumberFormat="1" applyFont="1" applyFill="1" applyBorder="1" applyAlignment="1">
      <x:alignment vertical="center" wrapText="1"/>
    </x:xf>
    <x:xf numFmtId="0" fontId="6" fillId="3" borderId="6" xfId="0" applyNumberFormat="1" applyFont="1" applyFill="1" applyBorder="1" applyAlignment="1">
      <x:alignment vertical="center" wrapText="1"/>
    </x:xf>
    <x:xf numFmtId="0" fontId="5" fillId="5" borderId="7" xfId="0" applyNumberFormat="1" applyFont="1" applyFill="1" applyBorder="1" applyAlignment="1">
      <x:alignment vertical="top" wrapText="1"/>
    </x:xf>
    <x:xf numFmtId="0" fontId="5" fillId="0" borderId="8" xfId="0" applyNumberFormat="1" applyFont="1" applyFill="1" applyBorder="1" applyAlignment="1">
      <x:alignment vertical="top" wrapText="1"/>
    </x:xf>
    <x:xf numFmtId="0" fontId="5" fillId="0" borderId="9" xfId="0" applyNumberFormat="1" applyFont="1" applyFill="1" applyBorder="1" applyAlignment="1">
      <x:alignment vertical="top" wrapText="1"/>
    </x:xf>
  </x:cellXfs>
  <x:cellStyles count="1">
    <x:cellStyle name="Normal" xfId="0"/>
  </x:cellStyles>
  <x:dxfs count="30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4e1e10991d045b6" /><Relationship Type="http://schemas.openxmlformats.org/officeDocument/2006/relationships/theme" Target="/xl/theme/theme1.xml" Id="R9e1ced68ec4348c8" /><Relationship Type="http://schemas.openxmlformats.org/officeDocument/2006/relationships/sharedStrings" Target="/xl/sharedStrings.xml" Id="R1b17de2c81a84b93" /><Relationship Type="http://schemas.openxmlformats.org/officeDocument/2006/relationships/worksheet" Target="/xl/worksheets/sheet1.xml" Id="R7f279d8c731441b7" /><Relationship Type="http://schemas.openxmlformats.org/officeDocument/2006/relationships/worksheet" Target="/xl/worksheets/sheet2.xml" Id="R1bc69f3dd08c48a6" /><Relationship Type="http://schemas.openxmlformats.org/officeDocument/2006/relationships/worksheet" Target="/xl/worksheets/sheet3.xml" Id="R0c841f51790844ea" /><Relationship Type="http://schemas.openxmlformats.org/officeDocument/2006/relationships/worksheet" Target="/xl/worksheets/sheet4.xml" Id="Rbf72ca30280347b4" /><Relationship Type="http://schemas.openxmlformats.org/officeDocument/2006/relationships/worksheet" Target="/xl/worksheets/sheet5.xml" Id="R8adeaa5cf1c4400c" /><Relationship Type="http://schemas.openxmlformats.org/officeDocument/2006/relationships/worksheet" Target="/xl/worksheets/sheet6.xml" Id="Rfe12cf3945dc4045" /><Relationship Type="http://schemas.openxmlformats.org/officeDocument/2006/relationships/worksheet" Target="/xl/worksheets/sheet7.xml" Id="R025df66a61964812" /></Relationships>
</file>

<file path=xl/tables/table1.xml><?xml version="1.0" encoding="utf-8"?>
<x:table xmlns:x="http://schemas.openxmlformats.org/spreadsheetml/2006/main" id="1" name="MasterAssetTable" displayName="MasterAssetTable" ref="A2:K52" headerRowCount="1" totalsRowCount="0" totalsRowShown="0">
  <x:tableColumns count="11">
    <x:tableColumn id="1" name="资产ID"/>
    <x:tableColumn id="2" name="原文标准名称"/>
    <x:tableColumn id="3" name="类型"/>
    <x:tableColumn id="4" name="版本"/>
    <x:tableColumn id="5" name="剧情功能"/>
    <x:tableColumn id="6" name="复用范围"/>
    <x:tableColumn id="7" name="必要性0-3"/>
    <x:tableColumn id="8" name="状态"/>
    <x:tableColumn id="9" name="来源"/>
    <x:tableColumn id="10" name="授权状态"/>
    <x:tableColumn id="11" name="提示词/备注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SceneCameraTable" displayName="SceneCameraTable" ref="A2:J52" headerRowCount="1" totalsRowCount="0" totalsRowShown="0">
  <x:tableColumns count="10">
    <x:tableColumn id="1" name="场景标准名称"/>
    <x:tableColumn id="2" name="机位名称"/>
    <x:tableColumn id="3" name="摄影机位置"/>
    <x:tableColumn id="4" name="观察方向"/>
    <x:tableColumn id="5" name="高度"/>
    <x:tableColumn id="6" name="焦距/景别"/>
    <x:tableColumn id="7" name="覆盖分镜组"/>
    <x:tableColumn id="8" name="必要性0-3"/>
    <x:tableColumn id="9" name="状态"/>
    <x:tableColumn id="10" name="结构一致性说明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ShotGroupAssetTable" displayName="ShotGroupAssetTable" ref="A2:M52" headerRowCount="1" totalsRowCount="0" totalsRowShown="0">
  <x:tableColumns count="13">
    <x:tableColumn id="1" name="集数"/>
    <x:tableColumn id="2" name="分镜组"/>
    <x:tableColumn id="3" name="模型配置"/>
    <x:tableColumn id="4" name="时长秒"/>
    <x:tableColumn id="5" name="角色"/>
    <x:tableColumn id="6" name="服装/状态"/>
    <x:tableColumn id="7" name="场景"/>
    <x:tableColumn id="8" name="机位"/>
    <x:tableColumn id="9" name="道具"/>
    <x:tableColumn id="10" name="UI/VFX"/>
    <x:tableColumn id="11" name="子资产"/>
    <x:tableColumn id="12" name="声音"/>
    <x:tableColumn id="13" name="依赖状态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SubAssetTable" displayName="SubAssetTable" ref="A2:J52" headerRowCount="1" totalsRowCount="0" totalsRowShown="0">
  <x:tableColumns count="10">
    <x:tableColumn id="1" name="子资产ID"/>
    <x:tableColumn id="2" name="集数"/>
    <x:tableColumn id="3" name="分镜组"/>
    <x:tableColumn id="4" name="类型"/>
    <x:tableColumn id="5" name="标准名称"/>
    <x:tableColumn id="6" name="用途"/>
    <x:tableColumn id="7" name="必要性0-3"/>
    <x:tableColumn id="8" name="输入母资产"/>
    <x:tableColumn id="9" name="状态"/>
    <x:tableColumn id="10" name="提示词/制作要求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VideoPackageTable" displayName="VideoPackageTable" ref="A2:L52" headerRowCount="1" totalsRowCount="0" totalsRowShown="0">
  <x:tableColumns count="12">
    <x:tableColumn id="1" name="集数"/>
    <x:tableColumn id="2" name="分镜组"/>
    <x:tableColumn id="3" name="模型配置"/>
    <x:tableColumn id="4" name="实际时长秒"/>
    <x:tableColumn id="5" name="时长例外原因"/>
    <x:tableColumn id="6" name="内部镜头数"/>
    <x:tableColumn id="7" name="资产调用清单"/>
    <x:tableColumn id="8" name="制作说明与前后衔接"/>
    <x:tableColumn id="9" name="纯净视频提示词"/>
    <x:tableColumn id="10" name="三审状态"/>
    <x:tableColumn id="11" name="时长检查"/>
    <x:tableColumn id="12" name="可生产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SoundCueTable" displayName="SoundCueTable" ref="A2:Q52" headerRowCount="1" totalsRowCount="0" totalsRowShown="0">
  <x:tableColumns count="17">
    <x:tableColumn id="1" name="集数"/>
    <x:tableColumn id="2" name="开始秒"/>
    <x:tableColumn id="3" name="结束秒"/>
    <x:tableColumn id="4" name="分镜组/镜头"/>
    <x:tableColumn id="5" name="剧情事件"/>
    <x:tableColumn id="6" name="情绪目标"/>
    <x:tableColumn id="7" name="声音类别"/>
    <x:tableColumn id="8" name="BGM类型"/>
    <x:tableColumn id="9" name="节奏/能量"/>
    <x:tableColumn id="10" name="环境声"/>
    <x:tableColumn id="11" name="动作声"/>
    <x:tableColumn id="12" name="转场/剧情音效"/>
    <x:tableColumn id="13" name="进入/退出"/>
    <x:tableColumn id="14" name="对白避让"/>
    <x:tableColumn id="15" name="静默"/>
    <x:tableColumn id="16" name="素材/状态"/>
    <x:tableColumn id="17" name="来源/授权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e883f0771cc54935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984825336773423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1a818ee4c1154775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9512b59d5ea0423f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8f034a4ac0c649f0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d1de83d9e19844cc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</x:cols>
  <x:sheetData>
    <x:row r="1" ht="34" customHeight="1">
      <x:c r="A1" s="35" t="str">
        <x:v>AI漫剧生产信息表｜1.0.3</x:v>
      </x:c>
      <x:c r="B1" s="35"/>
      <x:c r="C1" s="35"/>
      <x:c r="D1" s="35"/>
      <x:c r="E1" s="35"/>
      <x:c r="F1" s="35"/>
    </x:row>
    <x:row r="2">
      <x:c r="A2" s="36"/>
      <x:c r="B2" s="36"/>
      <x:c r="C2" s="36"/>
      <x:c r="D2" s="36"/>
      <x:c r="E2" s="36"/>
      <x:c r="F2" s="36"/>
    </x:row>
    <x:row r="3">
      <x:c r="A3" s="37" t="str">
        <x:v>项目名</x:v>
      </x:c>
      <x:c r="B3" s="38" t="str">
        <x:v>填写项目名称</x:v>
      </x:c>
      <x:c r="C3" s="36"/>
      <x:c r="D3" s="36"/>
      <x:c r="E3" s="36"/>
      <x:c r="F3" s="36"/>
    </x:row>
    <x:row r="4">
      <x:c r="A4" s="37" t="str">
        <x:v>模型配置</x:v>
      </x:c>
      <x:c r="B4" s="39" t="str">
        <x:v>seedance-2.0</x:v>
      </x:c>
      <x:c r="C4" s="36"/>
      <x:c r="D4" s="36"/>
      <x:c r="E4" s="36"/>
      <x:c r="F4" s="36"/>
    </x:row>
    <x:row r="5">
      <x:c r="A5" s="37" t="str">
        <x:v>最终成片上限</x:v>
      </x:c>
      <x:c r="B5" s="40" t="n">
        <x:v>180</x:v>
      </x:c>
      <x:c r="C5" s="36"/>
      <x:c r="D5" s="36"/>
      <x:c r="E5" s="36"/>
      <x:c r="F5" s="36"/>
    </x:row>
    <x:row r="6">
      <x:c r="A6" s="37" t="str">
        <x:v>母资产数量</x:v>
      </x:c>
      <x:c r="B6" s="39" t="n">
        <x:f>COUNTA('母资产总表'!B3:B52)</x:f>
        <x:v>1</x:v>
      </x:c>
      <x:c r="C6" s="36"/>
      <x:c r="D6" s="36"/>
      <x:c r="E6" s="36"/>
      <x:c r="F6" s="36"/>
    </x:row>
    <x:row r="7">
      <x:c r="A7" s="37" t="str">
        <x:v>未完成必须资产</x:v>
      </x:c>
      <x:c r="B7" s="39" t="n">
        <x:f>COUNTIFS('母资产总表'!G3:G52,3,'母资产总表'!H3:H52,"&lt;&gt;READY")</x:f>
        <x:v>1</x:v>
      </x:c>
      <x:c r="C7" s="36"/>
      <x:c r="D7" s="36"/>
      <x:c r="E7" s="36"/>
      <x:c r="F7" s="36"/>
    </x:row>
    <x:row r="8">
      <x:c r="A8" s="37" t="str">
        <x:v>可生产视频任务</x:v>
      </x:c>
      <x:c r="B8" s="41" t="n">
        <x:f>COUNTIF('视频输入包'!L3:L52,"是")</x:f>
        <x:v>0</x:v>
      </x:c>
      <x:c r="C8" s="36"/>
      <x:c r="D8" s="36"/>
      <x:c r="E8" s="36"/>
      <x:c r="F8" s="36"/>
    </x:row>
    <x:row r="9">
      <x:c r="A9" s="36"/>
      <x:c r="B9" s="36"/>
      <x:c r="C9" s="36"/>
      <x:c r="D9" s="36"/>
      <x:c r="E9" s="36"/>
      <x:c r="F9" s="36"/>
    </x:row>
    <x:row r="10">
      <x:c r="A10" s="42" t="str">
        <x:v>使用规则</x:v>
      </x:c>
      <x:c r="B10" s="42"/>
      <x:c r="C10" s="42"/>
      <x:c r="D10" s="42"/>
      <x:c r="E10" s="42"/>
      <x:c r="F10" s="42"/>
    </x:row>
    <x:row r="11">
      <x:c r="A11" s="43" t="str">
        <x:v>1</x:v>
      </x:c>
      <x:c r="B11" s="43" t="str">
        <x:v>只选择一个模型配置；2.0与2.5不能混用。</x:v>
      </x:c>
      <x:c r="C11" s="43"/>
      <x:c r="D11" s="43"/>
      <x:c r="E11" s="43"/>
      <x:c r="F11" s="43"/>
    </x:row>
    <x:row r="12">
      <x:c r="A12" s="43" t="str">
        <x:v>2</x:v>
      </x:c>
      <x:c r="B12" s="43" t="str">
        <x:v>每集最终成片不得超过180秒。</x:v>
      </x:c>
      <x:c r="C12" s="43"/>
      <x:c r="D12" s="43"/>
      <x:c r="E12" s="43"/>
      <x:c r="F12" s="43"/>
    </x:row>
    <x:row r="13">
      <x:c r="A13" s="43" t="str">
        <x:v>3</x:v>
      </x:c>
      <x:c r="B13" s="43" t="str">
        <x:v>三轮审核全部PASS后，视频任务才可生产。</x:v>
      </x:c>
      <x:c r="C13" s="43"/>
      <x:c r="D13" s="43"/>
      <x:c r="E13" s="43"/>
      <x:c r="F13" s="43"/>
    </x:row>
    <x:row r="14">
      <x:c r="A14" s="43" t="str">
        <x:v>4</x:v>
      </x:c>
      <x:c r="B14" s="43" t="str">
        <x:v>每个含对白、内心独白、旁白、画外音或系统语音的镜头，都必须在本镜全部描述最后追加：视频严禁出现台词、内心独白与系统语音字幕。</x:v>
      </x:c>
      <x:c r="C14" s="43"/>
      <x:c r="D14" s="43"/>
      <x:c r="E14" s="43"/>
      <x:c r="F14" s="43"/>
    </x:row>
  </x:sheetData>
  <x:mergeCells>
    <x:mergeCell ref="A1:F1"/>
    <x:mergeCell ref="A10:F10"/>
    <x:mergeCell ref="B11:F11"/>
    <x:mergeCell ref="B12:F12"/>
    <x:mergeCell ref="B13:F13"/>
    <x:mergeCell ref="B14:F14"/>
  </x:mergeCells>
  <x:dataValidations count="1">
    <x:dataValidation type="list" sqref="B4">
      <x:formula1>"seedance-2.0,seedance-2.5"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22" hidden="0" customWidth="1"/>
    <x:col min="3" max="3" width="14" hidden="0" customWidth="1"/>
    <x:col min="4" max="4" width="12" hidden="0" customWidth="1"/>
    <x:col min="5" max="5" width="24" hidden="0" customWidth="1"/>
    <x:col min="6" max="6" width="15" hidden="0" customWidth="1"/>
    <x:col min="7" max="7" width="12" hidden="0" customWidth="1"/>
    <x:col min="8" max="8" width="14" hidden="0" customWidth="1"/>
    <x:col min="9" max="9" width="18" hidden="0" customWidth="1"/>
    <x:col min="10" max="10" width="16" hidden="0" customWidth="1"/>
    <x:col min="11" max="11" width="42" hidden="0" customWidth="1"/>
  </x:cols>
  <x:sheetData>
    <x:row r="1" ht="30" customHeight="1">
      <x:c r="A1" s="44" t="str">
        <x:v>母资产总表｜机器ID用于去重，视频提示词只使用原文标准名称</x:v>
      </x:c>
      <x:c r="B1" s="44"/>
      <x:c r="C1" s="44"/>
      <x:c r="D1" s="44"/>
      <x:c r="E1" s="44"/>
      <x:c r="F1" s="44"/>
      <x:c r="G1" s="44"/>
      <x:c r="H1" s="44"/>
      <x:c r="I1" s="44"/>
      <x:c r="J1" s="44"/>
      <x:c r="K1" s="44"/>
    </x:row>
    <x:row r="2">
      <x:c r="A2" s="45" t="str">
        <x:v>资产ID</x:v>
      </x:c>
      <x:c r="B2" s="46" t="str">
        <x:v>原文标准名称</x:v>
      </x:c>
      <x:c r="C2" s="46" t="str">
        <x:v>类型</x:v>
      </x:c>
      <x:c r="D2" s="46" t="str">
        <x:v>版本</x:v>
      </x:c>
      <x:c r="E2" s="46" t="str">
        <x:v>剧情功能</x:v>
      </x:c>
      <x:c r="F2" s="46" t="str">
        <x:v>复用范围</x:v>
      </x:c>
      <x:c r="G2" s="46" t="str">
        <x:v>必要性0-3</x:v>
      </x:c>
      <x:c r="H2" s="46" t="str">
        <x:v>状态</x:v>
      </x:c>
      <x:c r="I2" s="46" t="str">
        <x:v>来源</x:v>
      </x:c>
      <x:c r="J2" s="46" t="str">
        <x:v>授权状态</x:v>
      </x:c>
      <x:c r="K2" s="47" t="str">
        <x:v>提示词/备注</x:v>
      </x:c>
    </x:row>
    <x:row r="3">
      <x:c r="A3" s="48" t="str">
        <x:v>CHAR-LZ</x:v>
      </x:c>
      <x:c r="B3" s="48" t="str">
        <x:v>林舟</x:v>
      </x:c>
      <x:c r="C3" s="48" t="str">
        <x:v>CHARACTER</x:v>
      </x:c>
      <x:c r="D3" s="48" t="str">
        <x:v>BASE</x:v>
      </x:c>
      <x:c r="E3" s="48" t="str">
        <x:v>主要角色</x:v>
      </x:c>
      <x:c r="F3" s="48" t="str">
        <x:v>GLOBAL</x:v>
      </x:c>
      <x:c r="G3" s="48" t="n">
        <x:v>3</x:v>
      </x:c>
      <x:c r="H3" s="48" t="str">
        <x:v>PENDING</x:v>
      </x:c>
      <x:c r="I3" s="48" t="str">
        <x:v>原创</x:v>
      </x:c>
      <x:c r="J3" s="48" t="str">
        <x:v>CONFIRMED</x:v>
      </x:c>
      <x:c r="K3" s="48" t="str">
        <x:v>示例行，可替换</x:v>
      </x:c>
    </x:row>
    <x:row r="4">
      <x:c r="A4" s="49"/>
      <x:c r="B4" s="49"/>
      <x:c r="C4" s="49"/>
      <x:c r="D4" s="49"/>
      <x:c r="E4" s="49"/>
      <x:c r="F4" s="49"/>
      <x:c r="G4" s="49"/>
      <x:c r="H4" s="49"/>
      <x:c r="I4" s="49"/>
      <x:c r="J4" s="49"/>
      <x:c r="K4" s="49"/>
    </x:row>
    <x:row r="5">
      <x:c r="A5" s="49"/>
      <x:c r="B5" s="49"/>
      <x:c r="C5" s="49"/>
      <x:c r="D5" s="49"/>
      <x:c r="E5" s="49"/>
      <x:c r="F5" s="49"/>
      <x:c r="G5" s="49"/>
      <x:c r="H5" s="49"/>
      <x:c r="I5" s="49"/>
      <x:c r="J5" s="49"/>
      <x:c r="K5" s="49"/>
    </x:row>
    <x:row r="6">
      <x:c r="A6" s="49"/>
      <x:c r="B6" s="49"/>
      <x:c r="C6" s="49"/>
      <x:c r="D6" s="49"/>
      <x:c r="E6" s="49"/>
      <x:c r="F6" s="49"/>
      <x:c r="G6" s="49"/>
      <x:c r="H6" s="49"/>
      <x:c r="I6" s="49"/>
      <x:c r="J6" s="49"/>
      <x:c r="K6" s="49"/>
    </x:row>
    <x:row r="7">
      <x:c r="A7" s="49"/>
      <x:c r="B7" s="49"/>
      <x:c r="C7" s="49"/>
      <x:c r="D7" s="49"/>
      <x:c r="E7" s="49"/>
      <x:c r="F7" s="49"/>
      <x:c r="G7" s="49"/>
      <x:c r="H7" s="49"/>
      <x:c r="I7" s="49"/>
      <x:c r="J7" s="49"/>
      <x:c r="K7" s="49"/>
    </x:row>
    <x:row r="8">
      <x:c r="A8" s="49"/>
      <x:c r="B8" s="49"/>
      <x:c r="C8" s="49"/>
      <x:c r="D8" s="49"/>
      <x:c r="E8" s="49"/>
      <x:c r="F8" s="49"/>
      <x:c r="G8" s="49"/>
      <x:c r="H8" s="49"/>
      <x:c r="I8" s="49"/>
      <x:c r="J8" s="49"/>
      <x:c r="K8" s="49"/>
    </x:row>
    <x:row r="9">
      <x:c r="A9" s="49"/>
      <x:c r="B9" s="49"/>
      <x:c r="C9" s="49"/>
      <x:c r="D9" s="49"/>
      <x:c r="E9" s="49"/>
      <x:c r="F9" s="49"/>
      <x:c r="G9" s="49"/>
      <x:c r="H9" s="49"/>
      <x:c r="I9" s="49"/>
      <x:c r="J9" s="49"/>
      <x:c r="K9" s="49"/>
    </x:row>
    <x:row r="10">
      <x:c r="A10" s="49"/>
      <x:c r="B10" s="49"/>
      <x:c r="C10" s="49"/>
      <x:c r="D10" s="49"/>
      <x:c r="E10" s="49"/>
      <x:c r="F10" s="49"/>
      <x:c r="G10" s="49"/>
      <x:c r="H10" s="49"/>
      <x:c r="I10" s="49"/>
      <x:c r="J10" s="49"/>
      <x:c r="K10" s="49"/>
    </x:row>
    <x:row r="11">
      <x:c r="A11" s="49"/>
      <x:c r="B11" s="49"/>
      <x:c r="C11" s="49"/>
      <x:c r="D11" s="49"/>
      <x:c r="E11" s="49"/>
      <x:c r="F11" s="49"/>
      <x:c r="G11" s="49"/>
      <x:c r="H11" s="49"/>
      <x:c r="I11" s="49"/>
      <x:c r="J11" s="49"/>
      <x:c r="K11" s="49"/>
    </x:row>
    <x:row r="12">
      <x:c r="A12" s="49"/>
      <x:c r="B12" s="49"/>
      <x:c r="C12" s="49"/>
      <x:c r="D12" s="49"/>
      <x:c r="E12" s="49"/>
      <x:c r="F12" s="49"/>
      <x:c r="G12" s="49"/>
      <x:c r="H12" s="49"/>
      <x:c r="I12" s="49"/>
      <x:c r="J12" s="49"/>
      <x:c r="K12" s="49"/>
    </x:row>
    <x:row r="13">
      <x:c r="A13" s="49"/>
      <x:c r="B13" s="49"/>
      <x:c r="C13" s="49"/>
      <x:c r="D13" s="49"/>
      <x:c r="E13" s="49"/>
      <x:c r="F13" s="49"/>
      <x:c r="G13" s="49"/>
      <x:c r="H13" s="49"/>
      <x:c r="I13" s="49"/>
      <x:c r="J13" s="49"/>
      <x:c r="K13" s="49"/>
    </x:row>
    <x:row r="14">
      <x:c r="A14" s="49"/>
      <x:c r="B14" s="49"/>
      <x:c r="C14" s="49"/>
      <x:c r="D14" s="49"/>
      <x:c r="E14" s="49"/>
      <x:c r="F14" s="49"/>
      <x:c r="G14" s="49"/>
      <x:c r="H14" s="49"/>
      <x:c r="I14" s="49"/>
      <x:c r="J14" s="49"/>
      <x:c r="K14" s="49"/>
    </x:row>
    <x:row r="15">
      <x:c r="A15" s="49"/>
      <x:c r="B15" s="49"/>
      <x:c r="C15" s="49"/>
      <x:c r="D15" s="49"/>
      <x:c r="E15" s="49"/>
      <x:c r="F15" s="49"/>
      <x:c r="G15" s="49"/>
      <x:c r="H15" s="49"/>
      <x:c r="I15" s="49"/>
      <x:c r="J15" s="49"/>
      <x:c r="K15" s="49"/>
    </x:row>
    <x:row r="16">
      <x:c r="A16" s="49"/>
      <x:c r="B16" s="49"/>
      <x:c r="C16" s="49"/>
      <x:c r="D16" s="49"/>
      <x:c r="E16" s="49"/>
      <x:c r="F16" s="49"/>
      <x:c r="G16" s="49"/>
      <x:c r="H16" s="49"/>
      <x:c r="I16" s="49"/>
      <x:c r="J16" s="49"/>
      <x:c r="K16" s="49"/>
    </x:row>
    <x:row r="17">
      <x:c r="A17" s="49"/>
      <x:c r="B17" s="49"/>
      <x:c r="C17" s="49"/>
      <x:c r="D17" s="49"/>
      <x:c r="E17" s="49"/>
      <x:c r="F17" s="49"/>
      <x:c r="G17" s="49"/>
      <x:c r="H17" s="49"/>
      <x:c r="I17" s="49"/>
      <x:c r="J17" s="49"/>
      <x:c r="K17" s="49"/>
    </x:row>
    <x:row r="18">
      <x:c r="A18" s="49"/>
      <x:c r="B18" s="49"/>
      <x:c r="C18" s="49"/>
      <x:c r="D18" s="49"/>
      <x:c r="E18" s="49"/>
      <x:c r="F18" s="49"/>
      <x:c r="G18" s="49"/>
      <x:c r="H18" s="49"/>
      <x:c r="I18" s="49"/>
      <x:c r="J18" s="49"/>
      <x:c r="K18" s="49"/>
    </x:row>
    <x:row r="19">
      <x:c r="A19" s="49"/>
      <x:c r="B19" s="49"/>
      <x:c r="C19" s="49"/>
      <x:c r="D19" s="49"/>
      <x:c r="E19" s="49"/>
      <x:c r="F19" s="49"/>
      <x:c r="G19" s="49"/>
      <x:c r="H19" s="49"/>
      <x:c r="I19" s="49"/>
      <x:c r="J19" s="49"/>
      <x:c r="K19" s="49"/>
    </x:row>
    <x:row r="20">
      <x:c r="A20" s="49"/>
      <x:c r="B20" s="49"/>
      <x:c r="C20" s="49"/>
      <x:c r="D20" s="49"/>
      <x:c r="E20" s="49"/>
      <x:c r="F20" s="49"/>
      <x:c r="G20" s="49"/>
      <x:c r="H20" s="49"/>
      <x:c r="I20" s="49"/>
      <x:c r="J20" s="49"/>
      <x:c r="K20" s="49"/>
    </x:row>
    <x:row r="21">
      <x:c r="A21" s="49"/>
      <x:c r="B21" s="49"/>
      <x:c r="C21" s="49"/>
      <x:c r="D21" s="49"/>
      <x:c r="E21" s="49"/>
      <x:c r="F21" s="49"/>
      <x:c r="G21" s="49"/>
      <x:c r="H21" s="49"/>
      <x:c r="I21" s="49"/>
      <x:c r="J21" s="49"/>
      <x:c r="K21" s="49"/>
    </x:row>
    <x:row r="22">
      <x:c r="A22" s="49"/>
      <x:c r="B22" s="49"/>
      <x:c r="C22" s="49"/>
      <x:c r="D22" s="49"/>
      <x:c r="E22" s="49"/>
      <x:c r="F22" s="49"/>
      <x:c r="G22" s="49"/>
      <x:c r="H22" s="49"/>
      <x:c r="I22" s="49"/>
      <x:c r="J22" s="49"/>
      <x:c r="K22" s="49"/>
    </x:row>
    <x:row r="23">
      <x:c r="A23" s="49"/>
      <x:c r="B23" s="49"/>
      <x:c r="C23" s="49"/>
      <x:c r="D23" s="49"/>
      <x:c r="E23" s="49"/>
      <x:c r="F23" s="49"/>
      <x:c r="G23" s="49"/>
      <x:c r="H23" s="49"/>
      <x:c r="I23" s="49"/>
      <x:c r="J23" s="49"/>
      <x:c r="K23" s="49"/>
    </x:row>
    <x:row r="24">
      <x:c r="A24" s="49"/>
      <x:c r="B24" s="49"/>
      <x:c r="C24" s="49"/>
      <x:c r="D24" s="49"/>
      <x:c r="E24" s="49"/>
      <x:c r="F24" s="49"/>
      <x:c r="G24" s="49"/>
      <x:c r="H24" s="49"/>
      <x:c r="I24" s="49"/>
      <x:c r="J24" s="49"/>
      <x:c r="K24" s="49"/>
    </x:row>
    <x:row r="25">
      <x:c r="A25" s="49"/>
      <x:c r="B25" s="49"/>
      <x:c r="C25" s="49"/>
      <x:c r="D25" s="49"/>
      <x:c r="E25" s="49"/>
      <x:c r="F25" s="49"/>
      <x:c r="G25" s="49"/>
      <x:c r="H25" s="49"/>
      <x:c r="I25" s="49"/>
      <x:c r="J25" s="49"/>
      <x:c r="K25" s="49"/>
    </x:row>
    <x:row r="26">
      <x:c r="A26" s="49"/>
      <x:c r="B26" s="49"/>
      <x:c r="C26" s="49"/>
      <x:c r="D26" s="49"/>
      <x:c r="E26" s="49"/>
      <x:c r="F26" s="49"/>
      <x:c r="G26" s="49"/>
      <x:c r="H26" s="49"/>
      <x:c r="I26" s="49"/>
      <x:c r="J26" s="49"/>
      <x:c r="K26" s="49"/>
    </x:row>
    <x:row r="27">
      <x:c r="A27" s="49"/>
      <x:c r="B27" s="49"/>
      <x:c r="C27" s="49"/>
      <x:c r="D27" s="49"/>
      <x:c r="E27" s="49"/>
      <x:c r="F27" s="49"/>
      <x:c r="G27" s="49"/>
      <x:c r="H27" s="49"/>
      <x:c r="I27" s="49"/>
      <x:c r="J27" s="49"/>
      <x:c r="K27" s="49"/>
    </x:row>
    <x:row r="28">
      <x:c r="A28" s="49"/>
      <x:c r="B28" s="49"/>
      <x:c r="C28" s="49"/>
      <x:c r="D28" s="49"/>
      <x:c r="E28" s="49"/>
      <x:c r="F28" s="49"/>
      <x:c r="G28" s="49"/>
      <x:c r="H28" s="49"/>
      <x:c r="I28" s="49"/>
      <x:c r="J28" s="49"/>
      <x:c r="K28" s="49"/>
    </x:row>
    <x:row r="29">
      <x:c r="A29" s="49"/>
      <x:c r="B29" s="49"/>
      <x:c r="C29" s="49"/>
      <x:c r="D29" s="49"/>
      <x:c r="E29" s="49"/>
      <x:c r="F29" s="49"/>
      <x:c r="G29" s="49"/>
      <x:c r="H29" s="49"/>
      <x:c r="I29" s="49"/>
      <x:c r="J29" s="49"/>
      <x:c r="K29" s="49"/>
    </x:row>
    <x:row r="30">
      <x:c r="A30" s="49"/>
      <x:c r="B30" s="49"/>
      <x:c r="C30" s="49"/>
      <x:c r="D30" s="49"/>
      <x:c r="E30" s="49"/>
      <x:c r="F30" s="49"/>
      <x:c r="G30" s="49"/>
      <x:c r="H30" s="49"/>
      <x:c r="I30" s="49"/>
      <x:c r="J30" s="49"/>
      <x:c r="K30" s="49"/>
    </x:row>
    <x:row r="31">
      <x:c r="A31" s="49"/>
      <x:c r="B31" s="49"/>
      <x:c r="C31" s="49"/>
      <x:c r="D31" s="49"/>
      <x:c r="E31" s="49"/>
      <x:c r="F31" s="49"/>
      <x:c r="G31" s="49"/>
      <x:c r="H31" s="49"/>
      <x:c r="I31" s="49"/>
      <x:c r="J31" s="49"/>
      <x:c r="K31" s="49"/>
    </x:row>
    <x:row r="32">
      <x:c r="A32" s="49"/>
      <x:c r="B32" s="49"/>
      <x:c r="C32" s="49"/>
      <x:c r="D32" s="49"/>
      <x:c r="E32" s="49"/>
      <x:c r="F32" s="49"/>
      <x:c r="G32" s="49"/>
      <x:c r="H32" s="49"/>
      <x:c r="I32" s="49"/>
      <x:c r="J32" s="49"/>
      <x:c r="K32" s="49"/>
    </x:row>
    <x:row r="33">
      <x:c r="A33" s="49"/>
      <x:c r="B33" s="49"/>
      <x:c r="C33" s="49"/>
      <x:c r="D33" s="49"/>
      <x:c r="E33" s="49"/>
      <x:c r="F33" s="49"/>
      <x:c r="G33" s="49"/>
      <x:c r="H33" s="49"/>
      <x:c r="I33" s="49"/>
      <x:c r="J33" s="49"/>
      <x:c r="K33" s="49"/>
    </x:row>
    <x:row r="34">
      <x:c r="A34" s="49"/>
      <x:c r="B34" s="49"/>
      <x:c r="C34" s="49"/>
      <x:c r="D34" s="49"/>
      <x:c r="E34" s="49"/>
      <x:c r="F34" s="49"/>
      <x:c r="G34" s="49"/>
      <x:c r="H34" s="49"/>
      <x:c r="I34" s="49"/>
      <x:c r="J34" s="49"/>
      <x:c r="K34" s="49"/>
    </x:row>
    <x:row r="35">
      <x:c r="A35" s="49"/>
      <x:c r="B35" s="49"/>
      <x:c r="C35" s="49"/>
      <x:c r="D35" s="49"/>
      <x:c r="E35" s="49"/>
      <x:c r="F35" s="49"/>
      <x:c r="G35" s="49"/>
      <x:c r="H35" s="49"/>
      <x:c r="I35" s="49"/>
      <x:c r="J35" s="49"/>
      <x:c r="K35" s="49"/>
    </x:row>
    <x:row r="36">
      <x:c r="A36" s="49"/>
      <x:c r="B36" s="49"/>
      <x:c r="C36" s="49"/>
      <x:c r="D36" s="49"/>
      <x:c r="E36" s="49"/>
      <x:c r="F36" s="49"/>
      <x:c r="G36" s="49"/>
      <x:c r="H36" s="49"/>
      <x:c r="I36" s="49"/>
      <x:c r="J36" s="49"/>
      <x:c r="K36" s="49"/>
    </x:row>
    <x:row r="37">
      <x:c r="A37" s="49"/>
      <x:c r="B37" s="49"/>
      <x:c r="C37" s="49"/>
      <x:c r="D37" s="49"/>
      <x:c r="E37" s="49"/>
      <x:c r="F37" s="49"/>
      <x:c r="G37" s="49"/>
      <x:c r="H37" s="49"/>
      <x:c r="I37" s="49"/>
      <x:c r="J37" s="49"/>
      <x:c r="K37" s="49"/>
    </x:row>
    <x:row r="38">
      <x:c r="A38" s="49"/>
      <x:c r="B38" s="49"/>
      <x:c r="C38" s="49"/>
      <x:c r="D38" s="49"/>
      <x:c r="E38" s="49"/>
      <x:c r="F38" s="49"/>
      <x:c r="G38" s="49"/>
      <x:c r="H38" s="49"/>
      <x:c r="I38" s="49"/>
      <x:c r="J38" s="49"/>
      <x:c r="K38" s="49"/>
    </x:row>
    <x:row r="39">
      <x:c r="A39" s="49"/>
      <x:c r="B39" s="49"/>
      <x:c r="C39" s="49"/>
      <x:c r="D39" s="49"/>
      <x:c r="E39" s="49"/>
      <x:c r="F39" s="49"/>
      <x:c r="G39" s="49"/>
      <x:c r="H39" s="49"/>
      <x:c r="I39" s="49"/>
      <x:c r="J39" s="49"/>
      <x:c r="K39" s="49"/>
    </x:row>
    <x:row r="40">
      <x:c r="A40" s="49"/>
      <x:c r="B40" s="49"/>
      <x:c r="C40" s="49"/>
      <x:c r="D40" s="49"/>
      <x:c r="E40" s="49"/>
      <x:c r="F40" s="49"/>
      <x:c r="G40" s="49"/>
      <x:c r="H40" s="49"/>
      <x:c r="I40" s="49"/>
      <x:c r="J40" s="49"/>
      <x:c r="K40" s="49"/>
    </x:row>
    <x:row r="41">
      <x:c r="A41" s="49"/>
      <x:c r="B41" s="49"/>
      <x:c r="C41" s="49"/>
      <x:c r="D41" s="49"/>
      <x:c r="E41" s="49"/>
      <x:c r="F41" s="49"/>
      <x:c r="G41" s="49"/>
      <x:c r="H41" s="49"/>
      <x:c r="I41" s="49"/>
      <x:c r="J41" s="49"/>
      <x:c r="K41" s="49"/>
    </x:row>
    <x:row r="42">
      <x:c r="A42" s="49"/>
      <x:c r="B42" s="49"/>
      <x:c r="C42" s="49"/>
      <x:c r="D42" s="49"/>
      <x:c r="E42" s="49"/>
      <x:c r="F42" s="49"/>
      <x:c r="G42" s="49"/>
      <x:c r="H42" s="49"/>
      <x:c r="I42" s="49"/>
      <x:c r="J42" s="49"/>
      <x:c r="K42" s="49"/>
    </x:row>
    <x:row r="43">
      <x:c r="A43" s="49"/>
      <x:c r="B43" s="49"/>
      <x:c r="C43" s="49"/>
      <x:c r="D43" s="49"/>
      <x:c r="E43" s="49"/>
      <x:c r="F43" s="49"/>
      <x:c r="G43" s="49"/>
      <x:c r="H43" s="49"/>
      <x:c r="I43" s="49"/>
      <x:c r="J43" s="49"/>
      <x:c r="K43" s="49"/>
    </x:row>
    <x:row r="44">
      <x:c r="A44" s="49"/>
      <x:c r="B44" s="49"/>
      <x:c r="C44" s="49"/>
      <x:c r="D44" s="49"/>
      <x:c r="E44" s="49"/>
      <x:c r="F44" s="49"/>
      <x:c r="G44" s="49"/>
      <x:c r="H44" s="49"/>
      <x:c r="I44" s="49"/>
      <x:c r="J44" s="49"/>
      <x:c r="K44" s="49"/>
    </x:row>
    <x:row r="45">
      <x:c r="A45" s="49"/>
      <x:c r="B45" s="49"/>
      <x:c r="C45" s="49"/>
      <x:c r="D45" s="49"/>
      <x:c r="E45" s="49"/>
      <x:c r="F45" s="49"/>
      <x:c r="G45" s="49"/>
      <x:c r="H45" s="49"/>
      <x:c r="I45" s="49"/>
      <x:c r="J45" s="49"/>
      <x:c r="K45" s="49"/>
    </x:row>
    <x:row r="46">
      <x:c r="A46" s="49"/>
      <x:c r="B46" s="49"/>
      <x:c r="C46" s="49"/>
      <x:c r="D46" s="49"/>
      <x:c r="E46" s="49"/>
      <x:c r="F46" s="49"/>
      <x:c r="G46" s="49"/>
      <x:c r="H46" s="49"/>
      <x:c r="I46" s="49"/>
      <x:c r="J46" s="49"/>
      <x:c r="K46" s="49"/>
    </x:row>
    <x:row r="47">
      <x:c r="A47" s="49"/>
      <x:c r="B47" s="49"/>
      <x:c r="C47" s="49"/>
      <x:c r="D47" s="49"/>
      <x:c r="E47" s="49"/>
      <x:c r="F47" s="49"/>
      <x:c r="G47" s="49"/>
      <x:c r="H47" s="49"/>
      <x:c r="I47" s="49"/>
      <x:c r="J47" s="49"/>
      <x:c r="K47" s="49"/>
    </x:row>
    <x:row r="48">
      <x:c r="A48" s="49"/>
      <x:c r="B48" s="49"/>
      <x:c r="C48" s="49"/>
      <x:c r="D48" s="49"/>
      <x:c r="E48" s="49"/>
      <x:c r="F48" s="49"/>
      <x:c r="G48" s="49"/>
      <x:c r="H48" s="49"/>
      <x:c r="I48" s="49"/>
      <x:c r="J48" s="49"/>
      <x:c r="K48" s="49"/>
    </x:row>
    <x:row r="49">
      <x:c r="A49" s="49"/>
      <x:c r="B49" s="49"/>
      <x:c r="C49" s="49"/>
      <x:c r="D49" s="49"/>
      <x:c r="E49" s="49"/>
      <x:c r="F49" s="49"/>
      <x:c r="G49" s="49"/>
      <x:c r="H49" s="49"/>
      <x:c r="I49" s="49"/>
      <x:c r="J49" s="49"/>
      <x:c r="K49" s="49"/>
    </x:row>
    <x:row r="50">
      <x:c r="A50" s="49"/>
      <x:c r="B50" s="49"/>
      <x:c r="C50" s="49"/>
      <x:c r="D50" s="49"/>
      <x:c r="E50" s="49"/>
      <x:c r="F50" s="49"/>
      <x:c r="G50" s="49"/>
      <x:c r="H50" s="49"/>
      <x:c r="I50" s="49"/>
      <x:c r="J50" s="49"/>
      <x:c r="K50" s="49"/>
    </x:row>
    <x:row r="51">
      <x:c r="A51" s="49"/>
      <x:c r="B51" s="49"/>
      <x:c r="C51" s="49"/>
      <x:c r="D51" s="49"/>
      <x:c r="E51" s="49"/>
      <x:c r="F51" s="49"/>
      <x:c r="G51" s="49"/>
      <x:c r="H51" s="49"/>
      <x:c r="I51" s="49"/>
      <x:c r="J51" s="49"/>
      <x:c r="K51" s="49"/>
    </x:row>
    <x:row r="52">
      <x:c r="A52" s="50"/>
      <x:c r="B52" s="50"/>
      <x:c r="C52" s="50"/>
      <x:c r="D52" s="50"/>
      <x:c r="E52" s="50"/>
      <x:c r="F52" s="50"/>
      <x:c r="G52" s="50"/>
      <x:c r="H52" s="50"/>
      <x:c r="I52" s="50"/>
      <x:c r="J52" s="50"/>
      <x:c r="K52" s="50"/>
    </x:row>
  </x:sheetData>
  <x:mergeCells>
    <x:mergeCell ref="A1:K1"/>
  </x:mergeCells>
  <x:conditionalFormatting sqref="H3:H52">
    <x:cfRule type="containsText" dxfId="0" priority="1" operator="containsText" text="READY"/>
    <x:cfRule type="containsText" dxfId="1" priority="2" operator="containsText" text="PASS"/>
    <x:cfRule type="containsText" dxfId="2" priority="3" operator="containsText" text="PENDING"/>
    <x:cfRule type="containsText" dxfId="3" priority="4" operator="containsText" text="WARNING"/>
    <x:cfRule type="containsText" dxfId="4" priority="5" operator="containsText" text="FAIL"/>
    <x:cfRule type="containsText" dxfId="5" priority="6" operator="containsText" text="BLOCKED"/>
  </x:conditionalFormatting>
  <x:dataValidations count="2">
    <x:dataValidation type="whole" operator="between" sqref="G3:G52">
      <x:formula1>0</x:formula1>
      <x:formula2>3</x:formula2>
    </x:dataValidation>
    <x:dataValidation type="list" sqref="H3:H52">
      <x:formula1>"PENDING,IN_PROGRESS,READY,BLOCKED,STALE"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e883f0771cc54935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18" hidden="0" customWidth="1"/>
    <x:col min="3" max="3" width="23" hidden="0" customWidth="1"/>
    <x:col min="4" max="4" width="23" hidden="0" customWidth="1"/>
    <x:col min="5" max="5" width="13" hidden="0" customWidth="1"/>
    <x:col min="6" max="6" width="18" hidden="0" customWidth="1"/>
    <x:col min="7" max="7" width="22" hidden="0" customWidth="1"/>
    <x:col min="8" max="8" width="12" hidden="0" customWidth="1"/>
    <x:col min="9" max="9" width="14" hidden="0" customWidth="1"/>
    <x:col min="10" max="10" width="38" hidden="0" customWidth="1"/>
  </x:cols>
  <x:sheetData>
    <x:row r="1" ht="30" customHeight="1">
      <x:c r="A1" s="44" t="str">
        <x:v>场景机位矩阵｜12机位是参考覆盖模板，不强制全部生产</x:v>
      </x:c>
      <x:c r="B1" s="44"/>
      <x:c r="C1" s="44"/>
      <x:c r="D1" s="44"/>
      <x:c r="E1" s="44"/>
      <x:c r="F1" s="44"/>
      <x:c r="G1" s="44"/>
      <x:c r="H1" s="44"/>
      <x:c r="I1" s="44"/>
      <x:c r="J1" s="44"/>
    </x:row>
    <x:row r="2">
      <x:c r="A2" s="45" t="str">
        <x:v>场景标准名称</x:v>
      </x:c>
      <x:c r="B2" s="46" t="str">
        <x:v>机位名称</x:v>
      </x:c>
      <x:c r="C2" s="46" t="str">
        <x:v>摄影机位置</x:v>
      </x:c>
      <x:c r="D2" s="46" t="str">
        <x:v>观察方向</x:v>
      </x:c>
      <x:c r="E2" s="46" t="str">
        <x:v>高度</x:v>
      </x:c>
      <x:c r="F2" s="46" t="str">
        <x:v>焦距/景别</x:v>
      </x:c>
      <x:c r="G2" s="46" t="str">
        <x:v>覆盖分镜组</x:v>
      </x:c>
      <x:c r="H2" s="46" t="str">
        <x:v>必要性0-3</x:v>
      </x:c>
      <x:c r="I2" s="46" t="str">
        <x:v>状态</x:v>
      </x:c>
      <x:c r="J2" s="47" t="str">
        <x:v>结构一致性说明</x:v>
      </x:c>
    </x:row>
    <x:row r="3">
      <x:c r="A3" s="48" t="str">
        <x:v>综合训练教室</x:v>
      </x:c>
      <x:c r="B3" s="48" t="str">
        <x:v>讲台向后排</x:v>
      </x:c>
      <x:c r="C3" s="48" t="str">
        <x:v>讲台中央前缘</x:v>
      </x:c>
      <x:c r="D3" s="48" t="str">
        <x:v>面向教室最后排</x:v>
      </x:c>
      <x:c r="E3" s="48" t="str">
        <x:v>胸口高度</x:v>
      </x:c>
      <x:c r="F3" s="48" t="str">
        <x:v>中景</x:v>
      </x:c>
      <x:c r="G3" s="48" t="str">
        <x:v>EP001-SG01</x:v>
      </x:c>
      <x:c r="H3" s="48" t="n">
        <x:v>3</x:v>
      </x:c>
      <x:c r="I3" s="48" t="str">
        <x:v>PENDING</x:v>
      </x:c>
      <x:c r="J3" s="48" t="str">
        <x:v>门窗、课桌、过道与母场景一致</x:v>
      </x:c>
    </x:row>
    <x:row r="4">
      <x:c r="A4" s="49"/>
      <x:c r="B4" s="49"/>
      <x:c r="C4" s="49"/>
      <x:c r="D4" s="49"/>
      <x:c r="E4" s="49"/>
      <x:c r="F4" s="49"/>
      <x:c r="G4" s="49"/>
      <x:c r="H4" s="49"/>
      <x:c r="I4" s="49"/>
      <x:c r="J4" s="49"/>
    </x:row>
    <x:row r="5">
      <x:c r="A5" s="49"/>
      <x:c r="B5" s="49"/>
      <x:c r="C5" s="49"/>
      <x:c r="D5" s="49"/>
      <x:c r="E5" s="49"/>
      <x:c r="F5" s="49"/>
      <x:c r="G5" s="49"/>
      <x:c r="H5" s="49"/>
      <x:c r="I5" s="49"/>
      <x:c r="J5" s="49"/>
    </x:row>
    <x:row r="6">
      <x:c r="A6" s="49"/>
      <x:c r="B6" s="49"/>
      <x:c r="C6" s="49"/>
      <x:c r="D6" s="49"/>
      <x:c r="E6" s="49"/>
      <x:c r="F6" s="49"/>
      <x:c r="G6" s="49"/>
      <x:c r="H6" s="49"/>
      <x:c r="I6" s="49"/>
      <x:c r="J6" s="49"/>
    </x:row>
    <x:row r="7">
      <x:c r="A7" s="49"/>
      <x:c r="B7" s="49"/>
      <x:c r="C7" s="49"/>
      <x:c r="D7" s="49"/>
      <x:c r="E7" s="49"/>
      <x:c r="F7" s="49"/>
      <x:c r="G7" s="49"/>
      <x:c r="H7" s="49"/>
      <x:c r="I7" s="49"/>
      <x:c r="J7" s="49"/>
    </x:row>
    <x:row r="8">
      <x:c r="A8" s="49"/>
      <x:c r="B8" s="49"/>
      <x:c r="C8" s="49"/>
      <x:c r="D8" s="49"/>
      <x:c r="E8" s="49"/>
      <x:c r="F8" s="49"/>
      <x:c r="G8" s="49"/>
      <x:c r="H8" s="49"/>
      <x:c r="I8" s="49"/>
      <x:c r="J8" s="49"/>
    </x:row>
    <x:row r="9">
      <x:c r="A9" s="49"/>
      <x:c r="B9" s="49"/>
      <x:c r="C9" s="49"/>
      <x:c r="D9" s="49"/>
      <x:c r="E9" s="49"/>
      <x:c r="F9" s="49"/>
      <x:c r="G9" s="49"/>
      <x:c r="H9" s="49"/>
      <x:c r="I9" s="49"/>
      <x:c r="J9" s="49"/>
    </x:row>
    <x:row r="10">
      <x:c r="A10" s="49"/>
      <x:c r="B10" s="49"/>
      <x:c r="C10" s="49"/>
      <x:c r="D10" s="49"/>
      <x:c r="E10" s="49"/>
      <x:c r="F10" s="49"/>
      <x:c r="G10" s="49"/>
      <x:c r="H10" s="49"/>
      <x:c r="I10" s="49"/>
      <x:c r="J10" s="49"/>
    </x:row>
    <x:row r="11">
      <x:c r="A11" s="49"/>
      <x:c r="B11" s="49"/>
      <x:c r="C11" s="49"/>
      <x:c r="D11" s="49"/>
      <x:c r="E11" s="49"/>
      <x:c r="F11" s="49"/>
      <x:c r="G11" s="49"/>
      <x:c r="H11" s="49"/>
      <x:c r="I11" s="49"/>
      <x:c r="J11" s="49"/>
    </x:row>
    <x:row r="12">
      <x:c r="A12" s="49"/>
      <x:c r="B12" s="49"/>
      <x:c r="C12" s="49"/>
      <x:c r="D12" s="49"/>
      <x:c r="E12" s="49"/>
      <x:c r="F12" s="49"/>
      <x:c r="G12" s="49"/>
      <x:c r="H12" s="49"/>
      <x:c r="I12" s="49"/>
      <x:c r="J12" s="49"/>
    </x:row>
    <x:row r="13">
      <x:c r="A13" s="49"/>
      <x:c r="B13" s="49"/>
      <x:c r="C13" s="49"/>
      <x:c r="D13" s="49"/>
      <x:c r="E13" s="49"/>
      <x:c r="F13" s="49"/>
      <x:c r="G13" s="49"/>
      <x:c r="H13" s="49"/>
      <x:c r="I13" s="49"/>
      <x:c r="J13" s="49"/>
    </x:row>
    <x:row r="14">
      <x:c r="A14" s="49"/>
      <x:c r="B14" s="49"/>
      <x:c r="C14" s="49"/>
      <x:c r="D14" s="49"/>
      <x:c r="E14" s="49"/>
      <x:c r="F14" s="49"/>
      <x:c r="G14" s="49"/>
      <x:c r="H14" s="49"/>
      <x:c r="I14" s="49"/>
      <x:c r="J14" s="49"/>
    </x:row>
    <x:row r="15">
      <x:c r="A15" s="49"/>
      <x:c r="B15" s="49"/>
      <x:c r="C15" s="49"/>
      <x:c r="D15" s="49"/>
      <x:c r="E15" s="49"/>
      <x:c r="F15" s="49"/>
      <x:c r="G15" s="49"/>
      <x:c r="H15" s="49"/>
      <x:c r="I15" s="49"/>
      <x:c r="J15" s="49"/>
    </x:row>
    <x:row r="16">
      <x:c r="A16" s="49"/>
      <x:c r="B16" s="49"/>
      <x:c r="C16" s="49"/>
      <x:c r="D16" s="49"/>
      <x:c r="E16" s="49"/>
      <x:c r="F16" s="49"/>
      <x:c r="G16" s="49"/>
      <x:c r="H16" s="49"/>
      <x:c r="I16" s="49"/>
      <x:c r="J16" s="49"/>
    </x:row>
    <x:row r="17">
      <x:c r="A17" s="49"/>
      <x:c r="B17" s="49"/>
      <x:c r="C17" s="49"/>
      <x:c r="D17" s="49"/>
      <x:c r="E17" s="49"/>
      <x:c r="F17" s="49"/>
      <x:c r="G17" s="49"/>
      <x:c r="H17" s="49"/>
      <x:c r="I17" s="49"/>
      <x:c r="J17" s="49"/>
    </x:row>
    <x:row r="18">
      <x:c r="A18" s="49"/>
      <x:c r="B18" s="49"/>
      <x:c r="C18" s="49"/>
      <x:c r="D18" s="49"/>
      <x:c r="E18" s="49"/>
      <x:c r="F18" s="49"/>
      <x:c r="G18" s="49"/>
      <x:c r="H18" s="49"/>
      <x:c r="I18" s="49"/>
      <x:c r="J18" s="49"/>
    </x:row>
    <x:row r="19">
      <x:c r="A19" s="49"/>
      <x:c r="B19" s="49"/>
      <x:c r="C19" s="49"/>
      <x:c r="D19" s="49"/>
      <x:c r="E19" s="49"/>
      <x:c r="F19" s="49"/>
      <x:c r="G19" s="49"/>
      <x:c r="H19" s="49"/>
      <x:c r="I19" s="49"/>
      <x:c r="J19" s="49"/>
    </x:row>
    <x:row r="20">
      <x:c r="A20" s="49"/>
      <x:c r="B20" s="49"/>
      <x:c r="C20" s="49"/>
      <x:c r="D20" s="49"/>
      <x:c r="E20" s="49"/>
      <x:c r="F20" s="49"/>
      <x:c r="G20" s="49"/>
      <x:c r="H20" s="49"/>
      <x:c r="I20" s="49"/>
      <x:c r="J20" s="49"/>
    </x:row>
    <x:row r="21">
      <x:c r="A21" s="49"/>
      <x:c r="B21" s="49"/>
      <x:c r="C21" s="49"/>
      <x:c r="D21" s="49"/>
      <x:c r="E21" s="49"/>
      <x:c r="F21" s="49"/>
      <x:c r="G21" s="49"/>
      <x:c r="H21" s="49"/>
      <x:c r="I21" s="49"/>
      <x:c r="J21" s="49"/>
    </x:row>
    <x:row r="22">
      <x:c r="A22" s="49"/>
      <x:c r="B22" s="49"/>
      <x:c r="C22" s="49"/>
      <x:c r="D22" s="49"/>
      <x:c r="E22" s="49"/>
      <x:c r="F22" s="49"/>
      <x:c r="G22" s="49"/>
      <x:c r="H22" s="49"/>
      <x:c r="I22" s="49"/>
      <x:c r="J22" s="49"/>
    </x:row>
    <x:row r="23">
      <x:c r="A23" s="49"/>
      <x:c r="B23" s="49"/>
      <x:c r="C23" s="49"/>
      <x:c r="D23" s="49"/>
      <x:c r="E23" s="49"/>
      <x:c r="F23" s="49"/>
      <x:c r="G23" s="49"/>
      <x:c r="H23" s="49"/>
      <x:c r="I23" s="49"/>
      <x:c r="J23" s="49"/>
    </x:row>
    <x:row r="24">
      <x:c r="A24" s="49"/>
      <x:c r="B24" s="49"/>
      <x:c r="C24" s="49"/>
      <x:c r="D24" s="49"/>
      <x:c r="E24" s="49"/>
      <x:c r="F24" s="49"/>
      <x:c r="G24" s="49"/>
      <x:c r="H24" s="49"/>
      <x:c r="I24" s="49"/>
      <x:c r="J24" s="49"/>
    </x:row>
    <x:row r="25">
      <x:c r="A25" s="49"/>
      <x:c r="B25" s="49"/>
      <x:c r="C25" s="49"/>
      <x:c r="D25" s="49"/>
      <x:c r="E25" s="49"/>
      <x:c r="F25" s="49"/>
      <x:c r="G25" s="49"/>
      <x:c r="H25" s="49"/>
      <x:c r="I25" s="49"/>
      <x:c r="J25" s="49"/>
    </x:row>
    <x:row r="26">
      <x:c r="A26" s="49"/>
      <x:c r="B26" s="49"/>
      <x:c r="C26" s="49"/>
      <x:c r="D26" s="49"/>
      <x:c r="E26" s="49"/>
      <x:c r="F26" s="49"/>
      <x:c r="G26" s="49"/>
      <x:c r="H26" s="49"/>
      <x:c r="I26" s="49"/>
      <x:c r="J26" s="49"/>
    </x:row>
    <x:row r="27">
      <x:c r="A27" s="49"/>
      <x:c r="B27" s="49"/>
      <x:c r="C27" s="49"/>
      <x:c r="D27" s="49"/>
      <x:c r="E27" s="49"/>
      <x:c r="F27" s="49"/>
      <x:c r="G27" s="49"/>
      <x:c r="H27" s="49"/>
      <x:c r="I27" s="49"/>
      <x:c r="J27" s="49"/>
    </x:row>
    <x:row r="28">
      <x:c r="A28" s="49"/>
      <x:c r="B28" s="49"/>
      <x:c r="C28" s="49"/>
      <x:c r="D28" s="49"/>
      <x:c r="E28" s="49"/>
      <x:c r="F28" s="49"/>
      <x:c r="G28" s="49"/>
      <x:c r="H28" s="49"/>
      <x:c r="I28" s="49"/>
      <x:c r="J28" s="49"/>
    </x:row>
    <x:row r="29">
      <x:c r="A29" s="49"/>
      <x:c r="B29" s="49"/>
      <x:c r="C29" s="49"/>
      <x:c r="D29" s="49"/>
      <x:c r="E29" s="49"/>
      <x:c r="F29" s="49"/>
      <x:c r="G29" s="49"/>
      <x:c r="H29" s="49"/>
      <x:c r="I29" s="49"/>
      <x:c r="J29" s="49"/>
    </x:row>
    <x:row r="30">
      <x:c r="A30" s="49"/>
      <x:c r="B30" s="49"/>
      <x:c r="C30" s="49"/>
      <x:c r="D30" s="49"/>
      <x:c r="E30" s="49"/>
      <x:c r="F30" s="49"/>
      <x:c r="G30" s="49"/>
      <x:c r="H30" s="49"/>
      <x:c r="I30" s="49"/>
      <x:c r="J30" s="49"/>
    </x:row>
    <x:row r="31">
      <x:c r="A31" s="49"/>
      <x:c r="B31" s="49"/>
      <x:c r="C31" s="49"/>
      <x:c r="D31" s="49"/>
      <x:c r="E31" s="49"/>
      <x:c r="F31" s="49"/>
      <x:c r="G31" s="49"/>
      <x:c r="H31" s="49"/>
      <x:c r="I31" s="49"/>
      <x:c r="J31" s="49"/>
    </x:row>
    <x:row r="32">
      <x:c r="A32" s="49"/>
      <x:c r="B32" s="49"/>
      <x:c r="C32" s="49"/>
      <x:c r="D32" s="49"/>
      <x:c r="E32" s="49"/>
      <x:c r="F32" s="49"/>
      <x:c r="G32" s="49"/>
      <x:c r="H32" s="49"/>
      <x:c r="I32" s="49"/>
      <x:c r="J32" s="49"/>
    </x:row>
    <x:row r="33">
      <x:c r="A33" s="49"/>
      <x:c r="B33" s="49"/>
      <x:c r="C33" s="49"/>
      <x:c r="D33" s="49"/>
      <x:c r="E33" s="49"/>
      <x:c r="F33" s="49"/>
      <x:c r="G33" s="49"/>
      <x:c r="H33" s="49"/>
      <x:c r="I33" s="49"/>
      <x:c r="J33" s="49"/>
    </x:row>
    <x:row r="34">
      <x:c r="A34" s="49"/>
      <x:c r="B34" s="49"/>
      <x:c r="C34" s="49"/>
      <x:c r="D34" s="49"/>
      <x:c r="E34" s="49"/>
      <x:c r="F34" s="49"/>
      <x:c r="G34" s="49"/>
      <x:c r="H34" s="49"/>
      <x:c r="I34" s="49"/>
      <x:c r="J34" s="49"/>
    </x:row>
    <x:row r="35">
      <x:c r="A35" s="49"/>
      <x:c r="B35" s="49"/>
      <x:c r="C35" s="49"/>
      <x:c r="D35" s="49"/>
      <x:c r="E35" s="49"/>
      <x:c r="F35" s="49"/>
      <x:c r="G35" s="49"/>
      <x:c r="H35" s="49"/>
      <x:c r="I35" s="49"/>
      <x:c r="J35" s="49"/>
    </x:row>
    <x:row r="36">
      <x:c r="A36" s="49"/>
      <x:c r="B36" s="49"/>
      <x:c r="C36" s="49"/>
      <x:c r="D36" s="49"/>
      <x:c r="E36" s="49"/>
      <x:c r="F36" s="49"/>
      <x:c r="G36" s="49"/>
      <x:c r="H36" s="49"/>
      <x:c r="I36" s="49"/>
      <x:c r="J36" s="49"/>
    </x:row>
    <x:row r="37">
      <x:c r="A37" s="49"/>
      <x:c r="B37" s="49"/>
      <x:c r="C37" s="49"/>
      <x:c r="D37" s="49"/>
      <x:c r="E37" s="49"/>
      <x:c r="F37" s="49"/>
      <x:c r="G37" s="49"/>
      <x:c r="H37" s="49"/>
      <x:c r="I37" s="49"/>
      <x:c r="J37" s="49"/>
    </x:row>
    <x:row r="38">
      <x:c r="A38" s="49"/>
      <x:c r="B38" s="49"/>
      <x:c r="C38" s="49"/>
      <x:c r="D38" s="49"/>
      <x:c r="E38" s="49"/>
      <x:c r="F38" s="49"/>
      <x:c r="G38" s="49"/>
      <x:c r="H38" s="49"/>
      <x:c r="I38" s="49"/>
      <x:c r="J38" s="49"/>
    </x:row>
    <x:row r="39">
      <x:c r="A39" s="49"/>
      <x:c r="B39" s="49"/>
      <x:c r="C39" s="49"/>
      <x:c r="D39" s="49"/>
      <x:c r="E39" s="49"/>
      <x:c r="F39" s="49"/>
      <x:c r="G39" s="49"/>
      <x:c r="H39" s="49"/>
      <x:c r="I39" s="49"/>
      <x:c r="J39" s="49"/>
    </x:row>
    <x:row r="40">
      <x:c r="A40" s="49"/>
      <x:c r="B40" s="49"/>
      <x:c r="C40" s="49"/>
      <x:c r="D40" s="49"/>
      <x:c r="E40" s="49"/>
      <x:c r="F40" s="49"/>
      <x:c r="G40" s="49"/>
      <x:c r="H40" s="49"/>
      <x:c r="I40" s="49"/>
      <x:c r="J40" s="49"/>
    </x:row>
    <x:row r="41">
      <x:c r="A41" s="49"/>
      <x:c r="B41" s="49"/>
      <x:c r="C41" s="49"/>
      <x:c r="D41" s="49"/>
      <x:c r="E41" s="49"/>
      <x:c r="F41" s="49"/>
      <x:c r="G41" s="49"/>
      <x:c r="H41" s="49"/>
      <x:c r="I41" s="49"/>
      <x:c r="J41" s="49"/>
    </x:row>
    <x:row r="42">
      <x:c r="A42" s="49"/>
      <x:c r="B42" s="49"/>
      <x:c r="C42" s="49"/>
      <x:c r="D42" s="49"/>
      <x:c r="E42" s="49"/>
      <x:c r="F42" s="49"/>
      <x:c r="G42" s="49"/>
      <x:c r="H42" s="49"/>
      <x:c r="I42" s="49"/>
      <x:c r="J42" s="49"/>
    </x:row>
    <x:row r="43">
      <x:c r="A43" s="49"/>
      <x:c r="B43" s="49"/>
      <x:c r="C43" s="49"/>
      <x:c r="D43" s="49"/>
      <x:c r="E43" s="49"/>
      <x:c r="F43" s="49"/>
      <x:c r="G43" s="49"/>
      <x:c r="H43" s="49"/>
      <x:c r="I43" s="49"/>
      <x:c r="J43" s="49"/>
    </x:row>
    <x:row r="44">
      <x:c r="A44" s="49"/>
      <x:c r="B44" s="49"/>
      <x:c r="C44" s="49"/>
      <x:c r="D44" s="49"/>
      <x:c r="E44" s="49"/>
      <x:c r="F44" s="49"/>
      <x:c r="G44" s="49"/>
      <x:c r="H44" s="49"/>
      <x:c r="I44" s="49"/>
      <x:c r="J44" s="49"/>
    </x:row>
    <x:row r="45">
      <x:c r="A45" s="49"/>
      <x:c r="B45" s="49"/>
      <x:c r="C45" s="49"/>
      <x:c r="D45" s="49"/>
      <x:c r="E45" s="49"/>
      <x:c r="F45" s="49"/>
      <x:c r="G45" s="49"/>
      <x:c r="H45" s="49"/>
      <x:c r="I45" s="49"/>
      <x:c r="J45" s="49"/>
    </x:row>
    <x:row r="46">
      <x:c r="A46" s="49"/>
      <x:c r="B46" s="49"/>
      <x:c r="C46" s="49"/>
      <x:c r="D46" s="49"/>
      <x:c r="E46" s="49"/>
      <x:c r="F46" s="49"/>
      <x:c r="G46" s="49"/>
      <x:c r="H46" s="49"/>
      <x:c r="I46" s="49"/>
      <x:c r="J46" s="49"/>
    </x:row>
    <x:row r="47">
      <x:c r="A47" s="49"/>
      <x:c r="B47" s="49"/>
      <x:c r="C47" s="49"/>
      <x:c r="D47" s="49"/>
      <x:c r="E47" s="49"/>
      <x:c r="F47" s="49"/>
      <x:c r="G47" s="49"/>
      <x:c r="H47" s="49"/>
      <x:c r="I47" s="49"/>
      <x:c r="J47" s="49"/>
    </x:row>
    <x:row r="48">
      <x:c r="A48" s="49"/>
      <x:c r="B48" s="49"/>
      <x:c r="C48" s="49"/>
      <x:c r="D48" s="49"/>
      <x:c r="E48" s="49"/>
      <x:c r="F48" s="49"/>
      <x:c r="G48" s="49"/>
      <x:c r="H48" s="49"/>
      <x:c r="I48" s="49"/>
      <x:c r="J48" s="49"/>
    </x:row>
    <x:row r="49">
      <x:c r="A49" s="49"/>
      <x:c r="B49" s="49"/>
      <x:c r="C49" s="49"/>
      <x:c r="D49" s="49"/>
      <x:c r="E49" s="49"/>
      <x:c r="F49" s="49"/>
      <x:c r="G49" s="49"/>
      <x:c r="H49" s="49"/>
      <x:c r="I49" s="49"/>
      <x:c r="J49" s="49"/>
    </x:row>
    <x:row r="50">
      <x:c r="A50" s="49"/>
      <x:c r="B50" s="49"/>
      <x:c r="C50" s="49"/>
      <x:c r="D50" s="49"/>
      <x:c r="E50" s="49"/>
      <x:c r="F50" s="49"/>
      <x:c r="G50" s="49"/>
      <x:c r="H50" s="49"/>
      <x:c r="I50" s="49"/>
      <x:c r="J50" s="49"/>
    </x:row>
    <x:row r="51">
      <x:c r="A51" s="49"/>
      <x:c r="B51" s="49"/>
      <x:c r="C51" s="49"/>
      <x:c r="D51" s="49"/>
      <x:c r="E51" s="49"/>
      <x:c r="F51" s="49"/>
      <x:c r="G51" s="49"/>
      <x:c r="H51" s="49"/>
      <x:c r="I51" s="49"/>
      <x:c r="J51" s="49"/>
    </x:row>
    <x:row r="52">
      <x:c r="A52" s="50"/>
      <x:c r="B52" s="50"/>
      <x:c r="C52" s="50"/>
      <x:c r="D52" s="50"/>
      <x:c r="E52" s="50"/>
      <x:c r="F52" s="50"/>
      <x:c r="G52" s="50"/>
      <x:c r="H52" s="50"/>
      <x:c r="I52" s="50"/>
      <x:c r="J52" s="50"/>
    </x:row>
  </x:sheetData>
  <x:mergeCells>
    <x:mergeCell ref="A1:J1"/>
  </x:mergeCells>
  <x:conditionalFormatting sqref="I3:I52">
    <x:cfRule type="containsText" dxfId="6" priority="1" operator="containsText" text="READY"/>
    <x:cfRule type="containsText" dxfId="7" priority="2" operator="containsText" text="PASS"/>
    <x:cfRule type="containsText" dxfId="8" priority="3" operator="containsText" text="PENDING"/>
    <x:cfRule type="containsText" dxfId="9" priority="4" operator="containsText" text="WARNING"/>
    <x:cfRule type="containsText" dxfId="10" priority="5" operator="containsText" text="FAIL"/>
    <x:cfRule type="containsText" dxfId="11" priority="6" operator="containsText" text="BLOCKED"/>
  </x:conditionalFormatting>
  <x:dataValidations count="2">
    <x:dataValidation type="whole" operator="between" sqref="H3:H52">
      <x:formula1>0</x:formula1>
      <x:formula2>3</x:formula2>
    </x:dataValidation>
    <x:dataValidation type="list" sqref="I3:I52">
      <x:formula1>"PENDING,IN_PROGRESS,READY,BLOCKED,STALE"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9848253367734237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15" hidden="0" customWidth="1"/>
    <x:col min="3" max="3" width="17" hidden="0" customWidth="1"/>
    <x:col min="4" max="4" width="11" hidden="0" customWidth="1"/>
    <x:col min="5" max="5" width="23" hidden="0" customWidth="1"/>
    <x:col min="6" max="6" width="22" hidden="0" customWidth="1"/>
    <x:col min="7" max="7" width="23" hidden="0" customWidth="1"/>
    <x:col min="8" max="8" width="20" hidden="0" customWidth="1"/>
    <x:col min="9" max="9" width="20" hidden="0" customWidth="1"/>
    <x:col min="10" max="10" width="20" hidden="0" customWidth="1"/>
    <x:col min="11" max="11" width="26" hidden="0" customWidth="1"/>
    <x:col min="12" max="12" width="24" hidden="0" customWidth="1"/>
    <x:col min="13" max="13" width="15" hidden="0" customWidth="1"/>
  </x:cols>
  <x:sheetData>
    <x:row r="1" ht="30" customHeight="1">
      <x:c r="A1" s="44" t="str">
        <x:v>分镜组资产矩阵｜逐集逐组确认实际调用资产</x:v>
      </x:c>
      <x:c r="B1" s="44"/>
      <x:c r="C1" s="44"/>
      <x:c r="D1" s="44"/>
      <x:c r="E1" s="44"/>
      <x:c r="F1" s="44"/>
      <x:c r="G1" s="44"/>
      <x:c r="H1" s="44"/>
      <x:c r="I1" s="44"/>
      <x:c r="J1" s="44"/>
      <x:c r="K1" s="44"/>
      <x:c r="L1" s="44"/>
      <x:c r="M1" s="44"/>
    </x:row>
    <x:row r="2">
      <x:c r="A2" s="45" t="str">
        <x:v>集数</x:v>
      </x:c>
      <x:c r="B2" s="46" t="str">
        <x:v>分镜组</x:v>
      </x:c>
      <x:c r="C2" s="46" t="str">
        <x:v>模型配置</x:v>
      </x:c>
      <x:c r="D2" s="46" t="str">
        <x:v>时长秒</x:v>
      </x:c>
      <x:c r="E2" s="46" t="str">
        <x:v>角色</x:v>
      </x:c>
      <x:c r="F2" s="46" t="str">
        <x:v>服装/状态</x:v>
      </x:c>
      <x:c r="G2" s="46" t="str">
        <x:v>场景</x:v>
      </x:c>
      <x:c r="H2" s="46" t="str">
        <x:v>机位</x:v>
      </x:c>
      <x:c r="I2" s="46" t="str">
        <x:v>道具</x:v>
      </x:c>
      <x:c r="J2" s="46" t="str">
        <x:v>UI/VFX</x:v>
      </x:c>
      <x:c r="K2" s="46" t="str">
        <x:v>子资产</x:v>
      </x:c>
      <x:c r="L2" s="46" t="str">
        <x:v>声音</x:v>
      </x:c>
      <x:c r="M2" s="47" t="str">
        <x:v>依赖状态</x:v>
      </x:c>
    </x:row>
    <x:row r="3">
      <x:c r="A3" s="48" t="n">
        <x:v>1</x:v>
      </x:c>
      <x:c r="B3" s="48" t="str">
        <x:v>EP001-SG01</x:v>
      </x:c>
      <x:c r="C3" s="48" t="str">
        <x:v>seedance-2.0</x:v>
      </x:c>
      <x:c r="D3" s="48" t="n">
        <x:v>15</x:v>
      </x:c>
      <x:c r="E3" s="48" t="str">
        <x:v>林舟、苏澄</x:v>
      </x:c>
      <x:c r="F3" s="48" t="str">
        <x:v>日常服/正常</x:v>
      </x:c>
      <x:c r="G3" s="48" t="str">
        <x:v>综合训练教室</x:v>
      </x:c>
      <x:c r="H3" s="48" t="str">
        <x:v>讲台向后排</x:v>
      </x:c>
      <x:c r="I3" s="48" t="str">
        <x:v>练习长剑</x:v>
      </x:c>
      <x:c r="J3" s="48" t="str">
        <x:v>无</x:v>
      </x:c>
      <x:c r="K3" s="48" t="str">
        <x:v>双人站位参考</x:v>
      </x:c>
      <x:c r="L3" s="48" t="str">
        <x:v>教室环境底噪</x:v>
      </x:c>
      <x:c r="M3" s="48" t="str">
        <x:v>PENDING</x:v>
      </x:c>
    </x:row>
    <x:row r="4">
      <x:c r="A4" s="49"/>
      <x:c r="B4" s="49"/>
      <x:c r="C4" s="49"/>
      <x:c r="D4" s="49"/>
      <x:c r="E4" s="49"/>
      <x:c r="F4" s="49"/>
      <x:c r="G4" s="49"/>
      <x:c r="H4" s="49"/>
      <x:c r="I4" s="49"/>
      <x:c r="J4" s="49"/>
      <x:c r="K4" s="49"/>
      <x:c r="L4" s="49"/>
      <x:c r="M4" s="49"/>
    </x:row>
    <x:row r="5">
      <x:c r="A5" s="49"/>
      <x:c r="B5" s="49"/>
      <x:c r="C5" s="49"/>
      <x:c r="D5" s="49"/>
      <x:c r="E5" s="49"/>
      <x:c r="F5" s="49"/>
      <x:c r="G5" s="49"/>
      <x:c r="H5" s="49"/>
      <x:c r="I5" s="49"/>
      <x:c r="J5" s="49"/>
      <x:c r="K5" s="49"/>
      <x:c r="L5" s="49"/>
      <x:c r="M5" s="49"/>
    </x:row>
    <x:row r="6">
      <x:c r="A6" s="49"/>
      <x:c r="B6" s="49"/>
      <x:c r="C6" s="49"/>
      <x:c r="D6" s="49"/>
      <x:c r="E6" s="49"/>
      <x:c r="F6" s="49"/>
      <x:c r="G6" s="49"/>
      <x:c r="H6" s="49"/>
      <x:c r="I6" s="49"/>
      <x:c r="J6" s="49"/>
      <x:c r="K6" s="49"/>
      <x:c r="L6" s="49"/>
      <x:c r="M6" s="49"/>
    </x:row>
    <x:row r="7">
      <x:c r="A7" s="49"/>
      <x:c r="B7" s="49"/>
      <x:c r="C7" s="49"/>
      <x:c r="D7" s="49"/>
      <x:c r="E7" s="49"/>
      <x:c r="F7" s="49"/>
      <x:c r="G7" s="49"/>
      <x:c r="H7" s="49"/>
      <x:c r="I7" s="49"/>
      <x:c r="J7" s="49"/>
      <x:c r="K7" s="49"/>
      <x:c r="L7" s="49"/>
      <x:c r="M7" s="49"/>
    </x:row>
    <x:row r="8">
      <x:c r="A8" s="49"/>
      <x:c r="B8" s="49"/>
      <x:c r="C8" s="49"/>
      <x:c r="D8" s="49"/>
      <x:c r="E8" s="49"/>
      <x:c r="F8" s="49"/>
      <x:c r="G8" s="49"/>
      <x:c r="H8" s="49"/>
      <x:c r="I8" s="49"/>
      <x:c r="J8" s="49"/>
      <x:c r="K8" s="49"/>
      <x:c r="L8" s="49"/>
      <x:c r="M8" s="49"/>
    </x:row>
    <x:row r="9">
      <x:c r="A9" s="49"/>
      <x:c r="B9" s="49"/>
      <x:c r="C9" s="49"/>
      <x:c r="D9" s="49"/>
      <x:c r="E9" s="49"/>
      <x:c r="F9" s="49"/>
      <x:c r="G9" s="49"/>
      <x:c r="H9" s="49"/>
      <x:c r="I9" s="49"/>
      <x:c r="J9" s="49"/>
      <x:c r="K9" s="49"/>
      <x:c r="L9" s="49"/>
      <x:c r="M9" s="49"/>
    </x:row>
    <x:row r="10">
      <x:c r="A10" s="49"/>
      <x:c r="B10" s="49"/>
      <x:c r="C10" s="49"/>
      <x:c r="D10" s="49"/>
      <x:c r="E10" s="49"/>
      <x:c r="F10" s="49"/>
      <x:c r="G10" s="49"/>
      <x:c r="H10" s="49"/>
      <x:c r="I10" s="49"/>
      <x:c r="J10" s="49"/>
      <x:c r="K10" s="49"/>
      <x:c r="L10" s="49"/>
      <x:c r="M10" s="49"/>
    </x:row>
    <x:row r="11">
      <x:c r="A11" s="49"/>
      <x:c r="B11" s="49"/>
      <x:c r="C11" s="49"/>
      <x:c r="D11" s="49"/>
      <x:c r="E11" s="49"/>
      <x:c r="F11" s="49"/>
      <x:c r="G11" s="49"/>
      <x:c r="H11" s="49"/>
      <x:c r="I11" s="49"/>
      <x:c r="J11" s="49"/>
      <x:c r="K11" s="49"/>
      <x:c r="L11" s="49"/>
      <x:c r="M11" s="49"/>
    </x:row>
    <x:row r="12">
      <x:c r="A12" s="49"/>
      <x:c r="B12" s="49"/>
      <x:c r="C12" s="49"/>
      <x:c r="D12" s="49"/>
      <x:c r="E12" s="49"/>
      <x:c r="F12" s="49"/>
      <x:c r="G12" s="49"/>
      <x:c r="H12" s="49"/>
      <x:c r="I12" s="49"/>
      <x:c r="J12" s="49"/>
      <x:c r="K12" s="49"/>
      <x:c r="L12" s="49"/>
      <x:c r="M12" s="49"/>
    </x:row>
    <x:row r="13">
      <x:c r="A13" s="49"/>
      <x:c r="B13" s="49"/>
      <x:c r="C13" s="49"/>
      <x:c r="D13" s="49"/>
      <x:c r="E13" s="49"/>
      <x:c r="F13" s="49"/>
      <x:c r="G13" s="49"/>
      <x:c r="H13" s="49"/>
      <x:c r="I13" s="49"/>
      <x:c r="J13" s="49"/>
      <x:c r="K13" s="49"/>
      <x:c r="L13" s="49"/>
      <x:c r="M13" s="49"/>
    </x:row>
    <x:row r="14">
      <x:c r="A14" s="49"/>
      <x:c r="B14" s="49"/>
      <x:c r="C14" s="49"/>
      <x:c r="D14" s="49"/>
      <x:c r="E14" s="49"/>
      <x:c r="F14" s="49"/>
      <x:c r="G14" s="49"/>
      <x:c r="H14" s="49"/>
      <x:c r="I14" s="49"/>
      <x:c r="J14" s="49"/>
      <x:c r="K14" s="49"/>
      <x:c r="L14" s="49"/>
      <x:c r="M14" s="49"/>
    </x:row>
    <x:row r="15">
      <x:c r="A15" s="49"/>
      <x:c r="B15" s="49"/>
      <x:c r="C15" s="49"/>
      <x:c r="D15" s="49"/>
      <x:c r="E15" s="49"/>
      <x:c r="F15" s="49"/>
      <x:c r="G15" s="49"/>
      <x:c r="H15" s="49"/>
      <x:c r="I15" s="49"/>
      <x:c r="J15" s="49"/>
      <x:c r="K15" s="49"/>
      <x:c r="L15" s="49"/>
      <x:c r="M15" s="49"/>
    </x:row>
    <x:row r="16">
      <x:c r="A16" s="49"/>
      <x:c r="B16" s="49"/>
      <x:c r="C16" s="49"/>
      <x:c r="D16" s="49"/>
      <x:c r="E16" s="49"/>
      <x:c r="F16" s="49"/>
      <x:c r="G16" s="49"/>
      <x:c r="H16" s="49"/>
      <x:c r="I16" s="49"/>
      <x:c r="J16" s="49"/>
      <x:c r="K16" s="49"/>
      <x:c r="L16" s="49"/>
      <x:c r="M16" s="49"/>
    </x:row>
    <x:row r="17">
      <x:c r="A17" s="49"/>
      <x:c r="B17" s="49"/>
      <x:c r="C17" s="49"/>
      <x:c r="D17" s="49"/>
      <x:c r="E17" s="49"/>
      <x:c r="F17" s="49"/>
      <x:c r="G17" s="49"/>
      <x:c r="H17" s="49"/>
      <x:c r="I17" s="49"/>
      <x:c r="J17" s="49"/>
      <x:c r="K17" s="49"/>
      <x:c r="L17" s="49"/>
      <x:c r="M17" s="49"/>
    </x:row>
    <x:row r="18">
      <x:c r="A18" s="49"/>
      <x:c r="B18" s="49"/>
      <x:c r="C18" s="49"/>
      <x:c r="D18" s="49"/>
      <x:c r="E18" s="49"/>
      <x:c r="F18" s="49"/>
      <x:c r="G18" s="49"/>
      <x:c r="H18" s="49"/>
      <x:c r="I18" s="49"/>
      <x:c r="J18" s="49"/>
      <x:c r="K18" s="49"/>
      <x:c r="L18" s="49"/>
      <x:c r="M18" s="49"/>
    </x:row>
    <x:row r="19">
      <x:c r="A19" s="49"/>
      <x:c r="B19" s="49"/>
      <x:c r="C19" s="49"/>
      <x:c r="D19" s="49"/>
      <x:c r="E19" s="49"/>
      <x:c r="F19" s="49"/>
      <x:c r="G19" s="49"/>
      <x:c r="H19" s="49"/>
      <x:c r="I19" s="49"/>
      <x:c r="J19" s="49"/>
      <x:c r="K19" s="49"/>
      <x:c r="L19" s="49"/>
      <x:c r="M19" s="49"/>
    </x:row>
    <x:row r="20">
      <x:c r="A20" s="49"/>
      <x:c r="B20" s="49"/>
      <x:c r="C20" s="49"/>
      <x:c r="D20" s="49"/>
      <x:c r="E20" s="49"/>
      <x:c r="F20" s="49"/>
      <x:c r="G20" s="49"/>
      <x:c r="H20" s="49"/>
      <x:c r="I20" s="49"/>
      <x:c r="J20" s="49"/>
      <x:c r="K20" s="49"/>
      <x:c r="L20" s="49"/>
      <x:c r="M20" s="49"/>
    </x:row>
    <x:row r="21">
      <x:c r="A21" s="49"/>
      <x:c r="B21" s="49"/>
      <x:c r="C21" s="49"/>
      <x:c r="D21" s="49"/>
      <x:c r="E21" s="49"/>
      <x:c r="F21" s="49"/>
      <x:c r="G21" s="49"/>
      <x:c r="H21" s="49"/>
      <x:c r="I21" s="49"/>
      <x:c r="J21" s="49"/>
      <x:c r="K21" s="49"/>
      <x:c r="L21" s="49"/>
      <x:c r="M21" s="49"/>
    </x:row>
    <x:row r="22">
      <x:c r="A22" s="49"/>
      <x:c r="B22" s="49"/>
      <x:c r="C22" s="49"/>
      <x:c r="D22" s="49"/>
      <x:c r="E22" s="49"/>
      <x:c r="F22" s="49"/>
      <x:c r="G22" s="49"/>
      <x:c r="H22" s="49"/>
      <x:c r="I22" s="49"/>
      <x:c r="J22" s="49"/>
      <x:c r="K22" s="49"/>
      <x:c r="L22" s="49"/>
      <x:c r="M22" s="49"/>
    </x:row>
    <x:row r="23">
      <x:c r="A23" s="49"/>
      <x:c r="B23" s="49"/>
      <x:c r="C23" s="49"/>
      <x:c r="D23" s="49"/>
      <x:c r="E23" s="49"/>
      <x:c r="F23" s="49"/>
      <x:c r="G23" s="49"/>
      <x:c r="H23" s="49"/>
      <x:c r="I23" s="49"/>
      <x:c r="J23" s="49"/>
      <x:c r="K23" s="49"/>
      <x:c r="L23" s="49"/>
      <x:c r="M23" s="49"/>
    </x:row>
    <x:row r="24">
      <x:c r="A24" s="49"/>
      <x:c r="B24" s="49"/>
      <x:c r="C24" s="49"/>
      <x:c r="D24" s="49"/>
      <x:c r="E24" s="49"/>
      <x:c r="F24" s="49"/>
      <x:c r="G24" s="49"/>
      <x:c r="H24" s="49"/>
      <x:c r="I24" s="49"/>
      <x:c r="J24" s="49"/>
      <x:c r="K24" s="49"/>
      <x:c r="L24" s="49"/>
      <x:c r="M24" s="49"/>
    </x:row>
    <x:row r="25">
      <x:c r="A25" s="49"/>
      <x:c r="B25" s="49"/>
      <x:c r="C25" s="49"/>
      <x:c r="D25" s="49"/>
      <x:c r="E25" s="49"/>
      <x:c r="F25" s="49"/>
      <x:c r="G25" s="49"/>
      <x:c r="H25" s="49"/>
      <x:c r="I25" s="49"/>
      <x:c r="J25" s="49"/>
      <x:c r="K25" s="49"/>
      <x:c r="L25" s="49"/>
      <x:c r="M25" s="49"/>
    </x:row>
    <x:row r="26">
      <x:c r="A26" s="49"/>
      <x:c r="B26" s="49"/>
      <x:c r="C26" s="49"/>
      <x:c r="D26" s="49"/>
      <x:c r="E26" s="49"/>
      <x:c r="F26" s="49"/>
      <x:c r="G26" s="49"/>
      <x:c r="H26" s="49"/>
      <x:c r="I26" s="49"/>
      <x:c r="J26" s="49"/>
      <x:c r="K26" s="49"/>
      <x:c r="L26" s="49"/>
      <x:c r="M26" s="49"/>
    </x:row>
    <x:row r="27">
      <x:c r="A27" s="49"/>
      <x:c r="B27" s="49"/>
      <x:c r="C27" s="49"/>
      <x:c r="D27" s="49"/>
      <x:c r="E27" s="49"/>
      <x:c r="F27" s="49"/>
      <x:c r="G27" s="49"/>
      <x:c r="H27" s="49"/>
      <x:c r="I27" s="49"/>
      <x:c r="J27" s="49"/>
      <x:c r="K27" s="49"/>
      <x:c r="L27" s="49"/>
      <x:c r="M27" s="49"/>
    </x:row>
    <x:row r="28">
      <x:c r="A28" s="49"/>
      <x:c r="B28" s="49"/>
      <x:c r="C28" s="49"/>
      <x:c r="D28" s="49"/>
      <x:c r="E28" s="49"/>
      <x:c r="F28" s="49"/>
      <x:c r="G28" s="49"/>
      <x:c r="H28" s="49"/>
      <x:c r="I28" s="49"/>
      <x:c r="J28" s="49"/>
      <x:c r="K28" s="49"/>
      <x:c r="L28" s="49"/>
      <x:c r="M28" s="49"/>
    </x:row>
    <x:row r="29">
      <x:c r="A29" s="49"/>
      <x:c r="B29" s="49"/>
      <x:c r="C29" s="49"/>
      <x:c r="D29" s="49"/>
      <x:c r="E29" s="49"/>
      <x:c r="F29" s="49"/>
      <x:c r="G29" s="49"/>
      <x:c r="H29" s="49"/>
      <x:c r="I29" s="49"/>
      <x:c r="J29" s="49"/>
      <x:c r="K29" s="49"/>
      <x:c r="L29" s="49"/>
      <x:c r="M29" s="49"/>
    </x:row>
    <x:row r="30">
      <x:c r="A30" s="49"/>
      <x:c r="B30" s="49"/>
      <x:c r="C30" s="49"/>
      <x:c r="D30" s="49"/>
      <x:c r="E30" s="49"/>
      <x:c r="F30" s="49"/>
      <x:c r="G30" s="49"/>
      <x:c r="H30" s="49"/>
      <x:c r="I30" s="49"/>
      <x:c r="J30" s="49"/>
      <x:c r="K30" s="49"/>
      <x:c r="L30" s="49"/>
      <x:c r="M30" s="49"/>
    </x:row>
    <x:row r="31">
      <x:c r="A31" s="49"/>
      <x:c r="B31" s="49"/>
      <x:c r="C31" s="49"/>
      <x:c r="D31" s="49"/>
      <x:c r="E31" s="49"/>
      <x:c r="F31" s="49"/>
      <x:c r="G31" s="49"/>
      <x:c r="H31" s="49"/>
      <x:c r="I31" s="49"/>
      <x:c r="J31" s="49"/>
      <x:c r="K31" s="49"/>
      <x:c r="L31" s="49"/>
      <x:c r="M31" s="49"/>
    </x:row>
    <x:row r="32">
      <x:c r="A32" s="49"/>
      <x:c r="B32" s="49"/>
      <x:c r="C32" s="49"/>
      <x:c r="D32" s="49"/>
      <x:c r="E32" s="49"/>
      <x:c r="F32" s="49"/>
      <x:c r="G32" s="49"/>
      <x:c r="H32" s="49"/>
      <x:c r="I32" s="49"/>
      <x:c r="J32" s="49"/>
      <x:c r="K32" s="49"/>
      <x:c r="L32" s="49"/>
      <x:c r="M32" s="49"/>
    </x:row>
    <x:row r="33">
      <x:c r="A33" s="49"/>
      <x:c r="B33" s="49"/>
      <x:c r="C33" s="49"/>
      <x:c r="D33" s="49"/>
      <x:c r="E33" s="49"/>
      <x:c r="F33" s="49"/>
      <x:c r="G33" s="49"/>
      <x:c r="H33" s="49"/>
      <x:c r="I33" s="49"/>
      <x:c r="J33" s="49"/>
      <x:c r="K33" s="49"/>
      <x:c r="L33" s="49"/>
      <x:c r="M33" s="49"/>
    </x:row>
    <x:row r="34">
      <x:c r="A34" s="49"/>
      <x:c r="B34" s="49"/>
      <x:c r="C34" s="49"/>
      <x:c r="D34" s="49"/>
      <x:c r="E34" s="49"/>
      <x:c r="F34" s="49"/>
      <x:c r="G34" s="49"/>
      <x:c r="H34" s="49"/>
      <x:c r="I34" s="49"/>
      <x:c r="J34" s="49"/>
      <x:c r="K34" s="49"/>
      <x:c r="L34" s="49"/>
      <x:c r="M34" s="49"/>
    </x:row>
    <x:row r="35">
      <x:c r="A35" s="49"/>
      <x:c r="B35" s="49"/>
      <x:c r="C35" s="49"/>
      <x:c r="D35" s="49"/>
      <x:c r="E35" s="49"/>
      <x:c r="F35" s="49"/>
      <x:c r="G35" s="49"/>
      <x:c r="H35" s="49"/>
      <x:c r="I35" s="49"/>
      <x:c r="J35" s="49"/>
      <x:c r="K35" s="49"/>
      <x:c r="L35" s="49"/>
      <x:c r="M35" s="49"/>
    </x:row>
    <x:row r="36">
      <x:c r="A36" s="49"/>
      <x:c r="B36" s="49"/>
      <x:c r="C36" s="49"/>
      <x:c r="D36" s="49"/>
      <x:c r="E36" s="49"/>
      <x:c r="F36" s="49"/>
      <x:c r="G36" s="49"/>
      <x:c r="H36" s="49"/>
      <x:c r="I36" s="49"/>
      <x:c r="J36" s="49"/>
      <x:c r="K36" s="49"/>
      <x:c r="L36" s="49"/>
      <x:c r="M36" s="49"/>
    </x:row>
    <x:row r="37">
      <x:c r="A37" s="49"/>
      <x:c r="B37" s="49"/>
      <x:c r="C37" s="49"/>
      <x:c r="D37" s="49"/>
      <x:c r="E37" s="49"/>
      <x:c r="F37" s="49"/>
      <x:c r="G37" s="49"/>
      <x:c r="H37" s="49"/>
      <x:c r="I37" s="49"/>
      <x:c r="J37" s="49"/>
      <x:c r="K37" s="49"/>
      <x:c r="L37" s="49"/>
      <x:c r="M37" s="49"/>
    </x:row>
    <x:row r="38">
      <x:c r="A38" s="49"/>
      <x:c r="B38" s="49"/>
      <x:c r="C38" s="49"/>
      <x:c r="D38" s="49"/>
      <x:c r="E38" s="49"/>
      <x:c r="F38" s="49"/>
      <x:c r="G38" s="49"/>
      <x:c r="H38" s="49"/>
      <x:c r="I38" s="49"/>
      <x:c r="J38" s="49"/>
      <x:c r="K38" s="49"/>
      <x:c r="L38" s="49"/>
      <x:c r="M38" s="49"/>
    </x:row>
    <x:row r="39">
      <x:c r="A39" s="49"/>
      <x:c r="B39" s="49"/>
      <x:c r="C39" s="49"/>
      <x:c r="D39" s="49"/>
      <x:c r="E39" s="49"/>
      <x:c r="F39" s="49"/>
      <x:c r="G39" s="49"/>
      <x:c r="H39" s="49"/>
      <x:c r="I39" s="49"/>
      <x:c r="J39" s="49"/>
      <x:c r="K39" s="49"/>
      <x:c r="L39" s="49"/>
      <x:c r="M39" s="49"/>
    </x:row>
    <x:row r="40">
      <x:c r="A40" s="49"/>
      <x:c r="B40" s="49"/>
      <x:c r="C40" s="49"/>
      <x:c r="D40" s="49"/>
      <x:c r="E40" s="49"/>
      <x:c r="F40" s="49"/>
      <x:c r="G40" s="49"/>
      <x:c r="H40" s="49"/>
      <x:c r="I40" s="49"/>
      <x:c r="J40" s="49"/>
      <x:c r="K40" s="49"/>
      <x:c r="L40" s="49"/>
      <x:c r="M40" s="49"/>
    </x:row>
    <x:row r="41">
      <x:c r="A41" s="49"/>
      <x:c r="B41" s="49"/>
      <x:c r="C41" s="49"/>
      <x:c r="D41" s="49"/>
      <x:c r="E41" s="49"/>
      <x:c r="F41" s="49"/>
      <x:c r="G41" s="49"/>
      <x:c r="H41" s="49"/>
      <x:c r="I41" s="49"/>
      <x:c r="J41" s="49"/>
      <x:c r="K41" s="49"/>
      <x:c r="L41" s="49"/>
      <x:c r="M41" s="49"/>
    </x:row>
    <x:row r="42">
      <x:c r="A42" s="49"/>
      <x:c r="B42" s="49"/>
      <x:c r="C42" s="49"/>
      <x:c r="D42" s="49"/>
      <x:c r="E42" s="49"/>
      <x:c r="F42" s="49"/>
      <x:c r="G42" s="49"/>
      <x:c r="H42" s="49"/>
      <x:c r="I42" s="49"/>
      <x:c r="J42" s="49"/>
      <x:c r="K42" s="49"/>
      <x:c r="L42" s="49"/>
      <x:c r="M42" s="49"/>
    </x:row>
    <x:row r="43">
      <x:c r="A43" s="49"/>
      <x:c r="B43" s="49"/>
      <x:c r="C43" s="49"/>
      <x:c r="D43" s="49"/>
      <x:c r="E43" s="49"/>
      <x:c r="F43" s="49"/>
      <x:c r="G43" s="49"/>
      <x:c r="H43" s="49"/>
      <x:c r="I43" s="49"/>
      <x:c r="J43" s="49"/>
      <x:c r="K43" s="49"/>
      <x:c r="L43" s="49"/>
      <x:c r="M43" s="49"/>
    </x:row>
    <x:row r="44">
      <x:c r="A44" s="49"/>
      <x:c r="B44" s="49"/>
      <x:c r="C44" s="49"/>
      <x:c r="D44" s="49"/>
      <x:c r="E44" s="49"/>
      <x:c r="F44" s="49"/>
      <x:c r="G44" s="49"/>
      <x:c r="H44" s="49"/>
      <x:c r="I44" s="49"/>
      <x:c r="J44" s="49"/>
      <x:c r="K44" s="49"/>
      <x:c r="L44" s="49"/>
      <x:c r="M44" s="49"/>
    </x:row>
    <x:row r="45">
      <x:c r="A45" s="49"/>
      <x:c r="B45" s="49"/>
      <x:c r="C45" s="49"/>
      <x:c r="D45" s="49"/>
      <x:c r="E45" s="49"/>
      <x:c r="F45" s="49"/>
      <x:c r="G45" s="49"/>
      <x:c r="H45" s="49"/>
      <x:c r="I45" s="49"/>
      <x:c r="J45" s="49"/>
      <x:c r="K45" s="49"/>
      <x:c r="L45" s="49"/>
      <x:c r="M45" s="49"/>
    </x:row>
    <x:row r="46">
      <x:c r="A46" s="49"/>
      <x:c r="B46" s="49"/>
      <x:c r="C46" s="49"/>
      <x:c r="D46" s="49"/>
      <x:c r="E46" s="49"/>
      <x:c r="F46" s="49"/>
      <x:c r="G46" s="49"/>
      <x:c r="H46" s="49"/>
      <x:c r="I46" s="49"/>
      <x:c r="J46" s="49"/>
      <x:c r="K46" s="49"/>
      <x:c r="L46" s="49"/>
      <x:c r="M46" s="49"/>
    </x:row>
    <x:row r="47">
      <x:c r="A47" s="49"/>
      <x:c r="B47" s="49"/>
      <x:c r="C47" s="49"/>
      <x:c r="D47" s="49"/>
      <x:c r="E47" s="49"/>
      <x:c r="F47" s="49"/>
      <x:c r="G47" s="49"/>
      <x:c r="H47" s="49"/>
      <x:c r="I47" s="49"/>
      <x:c r="J47" s="49"/>
      <x:c r="K47" s="49"/>
      <x:c r="L47" s="49"/>
      <x:c r="M47" s="49"/>
    </x:row>
    <x:row r="48">
      <x:c r="A48" s="49"/>
      <x:c r="B48" s="49"/>
      <x:c r="C48" s="49"/>
      <x:c r="D48" s="49"/>
      <x:c r="E48" s="49"/>
      <x:c r="F48" s="49"/>
      <x:c r="G48" s="49"/>
      <x:c r="H48" s="49"/>
      <x:c r="I48" s="49"/>
      <x:c r="J48" s="49"/>
      <x:c r="K48" s="49"/>
      <x:c r="L48" s="49"/>
      <x:c r="M48" s="49"/>
    </x:row>
    <x:row r="49">
      <x:c r="A49" s="49"/>
      <x:c r="B49" s="49"/>
      <x:c r="C49" s="49"/>
      <x:c r="D49" s="49"/>
      <x:c r="E49" s="49"/>
      <x:c r="F49" s="49"/>
      <x:c r="G49" s="49"/>
      <x:c r="H49" s="49"/>
      <x:c r="I49" s="49"/>
      <x:c r="J49" s="49"/>
      <x:c r="K49" s="49"/>
      <x:c r="L49" s="49"/>
      <x:c r="M49" s="49"/>
    </x:row>
    <x:row r="50">
      <x:c r="A50" s="49"/>
      <x:c r="B50" s="49"/>
      <x:c r="C50" s="49"/>
      <x:c r="D50" s="49"/>
      <x:c r="E50" s="49"/>
      <x:c r="F50" s="49"/>
      <x:c r="G50" s="49"/>
      <x:c r="H50" s="49"/>
      <x:c r="I50" s="49"/>
      <x:c r="J50" s="49"/>
      <x:c r="K50" s="49"/>
      <x:c r="L50" s="49"/>
      <x:c r="M50" s="49"/>
    </x:row>
    <x:row r="51">
      <x:c r="A51" s="49"/>
      <x:c r="B51" s="49"/>
      <x:c r="C51" s="49"/>
      <x:c r="D51" s="49"/>
      <x:c r="E51" s="49"/>
      <x:c r="F51" s="49"/>
      <x:c r="G51" s="49"/>
      <x:c r="H51" s="49"/>
      <x:c r="I51" s="49"/>
      <x:c r="J51" s="49"/>
      <x:c r="K51" s="49"/>
      <x:c r="L51" s="49"/>
      <x:c r="M51" s="49"/>
    </x:row>
    <x:row r="52">
      <x:c r="A52" s="50"/>
      <x:c r="B52" s="50"/>
      <x:c r="C52" s="50"/>
      <x:c r="D52" s="50"/>
      <x:c r="E52" s="50"/>
      <x:c r="F52" s="50"/>
      <x:c r="G52" s="50"/>
      <x:c r="H52" s="50"/>
      <x:c r="I52" s="50"/>
      <x:c r="J52" s="50"/>
      <x:c r="K52" s="50"/>
      <x:c r="L52" s="50"/>
      <x:c r="M52" s="50"/>
    </x:row>
  </x:sheetData>
  <x:mergeCells>
    <x:mergeCell ref="A1:M1"/>
  </x:mergeCells>
  <x:conditionalFormatting sqref="M3:M52">
    <x:cfRule type="containsText" dxfId="12" priority="1" operator="containsText" text="READY"/>
    <x:cfRule type="containsText" dxfId="13" priority="2" operator="containsText" text="PASS"/>
    <x:cfRule type="containsText" dxfId="14" priority="3" operator="containsText" text="PENDING"/>
    <x:cfRule type="containsText" dxfId="15" priority="4" operator="containsText" text="WARNING"/>
    <x:cfRule type="containsText" dxfId="16" priority="5" operator="containsText" text="FAIL"/>
    <x:cfRule type="containsText" dxfId="17" priority="6" operator="containsText" text="BLOCKED"/>
  </x:conditionalFormatting>
  <x:dataValidations count="2">
    <x:dataValidation type="list" sqref="C3:C52">
      <x:formula1>"seedance-2.0,seedance-2.5"</x:formula1>
    </x:dataValidation>
    <x:dataValidation type="list" sqref="M3:M52">
      <x:formula1>"PENDING,READY,BLOCKED,STALE"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1a818ee4c1154775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0" hidden="0" customWidth="1"/>
    <x:col min="3" max="3" width="15" hidden="0" customWidth="1"/>
    <x:col min="4" max="4" width="20" hidden="0" customWidth="1"/>
    <x:col min="5" max="5" width="24" hidden="0" customWidth="1"/>
    <x:col min="6" max="6" width="28" hidden="0" customWidth="1"/>
    <x:col min="7" max="7" width="12" hidden="0" customWidth="1"/>
    <x:col min="8" max="8" width="28" hidden="0" customWidth="1"/>
    <x:col min="9" max="9" width="14" hidden="0" customWidth="1"/>
    <x:col min="10" max="10" width="45" hidden="0" customWidth="1"/>
  </x:cols>
  <x:sheetData>
    <x:row r="1" ht="30" customHeight="1">
      <x:c r="A1" s="44" t="str">
        <x:v>子资产生产清单｜只生产确实提升视频稳定性的资产</x:v>
      </x:c>
      <x:c r="B1" s="44"/>
      <x:c r="C1" s="44"/>
      <x:c r="D1" s="44"/>
      <x:c r="E1" s="44"/>
      <x:c r="F1" s="44"/>
      <x:c r="G1" s="44"/>
      <x:c r="H1" s="44"/>
      <x:c r="I1" s="44"/>
      <x:c r="J1" s="44"/>
    </x:row>
    <x:row r="2">
      <x:c r="A2" s="45" t="str">
        <x:v>子资产ID</x:v>
      </x:c>
      <x:c r="B2" s="46" t="str">
        <x:v>集数</x:v>
      </x:c>
      <x:c r="C2" s="46" t="str">
        <x:v>分镜组</x:v>
      </x:c>
      <x:c r="D2" s="46" t="str">
        <x:v>类型</x:v>
      </x:c>
      <x:c r="E2" s="46" t="str">
        <x:v>标准名称</x:v>
      </x:c>
      <x:c r="F2" s="46" t="str">
        <x:v>用途</x:v>
      </x:c>
      <x:c r="G2" s="46" t="str">
        <x:v>必要性0-3</x:v>
      </x:c>
      <x:c r="H2" s="46" t="str">
        <x:v>输入母资产</x:v>
      </x:c>
      <x:c r="I2" s="46" t="str">
        <x:v>状态</x:v>
      </x:c>
      <x:c r="J2" s="47" t="str">
        <x:v>提示词/制作要求</x:v>
      </x:c>
    </x:row>
    <x:row r="3">
      <x:c r="A3" s="48" t="str">
        <x:v>SUB-EP001-SG01-01</x:v>
      </x:c>
      <x:c r="B3" s="48" t="n">
        <x:v>1</x:v>
      </x:c>
      <x:c r="C3" s="48" t="str">
        <x:v>EP001-SG01</x:v>
      </x:c>
      <x:c r="D3" s="48" t="str">
        <x:v>BLOCKING</x:v>
      </x:c>
      <x:c r="E3" s="48" t="str">
        <x:v>林舟与苏澄双人站位</x:v>
      </x:c>
      <x:c r="F3" s="48" t="str">
        <x:v>锁定两人距离与朝向</x:v>
      </x:c>
      <x:c r="G3" s="48" t="n">
        <x:v>3</x:v>
      </x:c>
      <x:c r="H3" s="48" t="str">
        <x:v>林舟、苏澄、综合训练教室</x:v>
      </x:c>
      <x:c r="I3" s="48" t="str">
        <x:v>PENDING</x:v>
      </x:c>
      <x:c r="J3" s="48" t="str">
        <x:v>示例行，可替换</x:v>
      </x:c>
    </x:row>
    <x:row r="4">
      <x:c r="A4" s="49"/>
      <x:c r="B4" s="49"/>
      <x:c r="C4" s="49"/>
      <x:c r="D4" s="49"/>
      <x:c r="E4" s="49"/>
      <x:c r="F4" s="49"/>
      <x:c r="G4" s="49"/>
      <x:c r="H4" s="49"/>
      <x:c r="I4" s="49"/>
      <x:c r="J4" s="49"/>
    </x:row>
    <x:row r="5">
      <x:c r="A5" s="49"/>
      <x:c r="B5" s="49"/>
      <x:c r="C5" s="49"/>
      <x:c r="D5" s="49"/>
      <x:c r="E5" s="49"/>
      <x:c r="F5" s="49"/>
      <x:c r="G5" s="49"/>
      <x:c r="H5" s="49"/>
      <x:c r="I5" s="49"/>
      <x:c r="J5" s="49"/>
    </x:row>
    <x:row r="6">
      <x:c r="A6" s="49"/>
      <x:c r="B6" s="49"/>
      <x:c r="C6" s="49"/>
      <x:c r="D6" s="49"/>
      <x:c r="E6" s="49"/>
      <x:c r="F6" s="49"/>
      <x:c r="G6" s="49"/>
      <x:c r="H6" s="49"/>
      <x:c r="I6" s="49"/>
      <x:c r="J6" s="49"/>
    </x:row>
    <x:row r="7">
      <x:c r="A7" s="49"/>
      <x:c r="B7" s="49"/>
      <x:c r="C7" s="49"/>
      <x:c r="D7" s="49"/>
      <x:c r="E7" s="49"/>
      <x:c r="F7" s="49"/>
      <x:c r="G7" s="49"/>
      <x:c r="H7" s="49"/>
      <x:c r="I7" s="49"/>
      <x:c r="J7" s="49"/>
    </x:row>
    <x:row r="8">
      <x:c r="A8" s="49"/>
      <x:c r="B8" s="49"/>
      <x:c r="C8" s="49"/>
      <x:c r="D8" s="49"/>
      <x:c r="E8" s="49"/>
      <x:c r="F8" s="49"/>
      <x:c r="G8" s="49"/>
      <x:c r="H8" s="49"/>
      <x:c r="I8" s="49"/>
      <x:c r="J8" s="49"/>
    </x:row>
    <x:row r="9">
      <x:c r="A9" s="49"/>
      <x:c r="B9" s="49"/>
      <x:c r="C9" s="49"/>
      <x:c r="D9" s="49"/>
      <x:c r="E9" s="49"/>
      <x:c r="F9" s="49"/>
      <x:c r="G9" s="49"/>
      <x:c r="H9" s="49"/>
      <x:c r="I9" s="49"/>
      <x:c r="J9" s="49"/>
    </x:row>
    <x:row r="10">
      <x:c r="A10" s="49"/>
      <x:c r="B10" s="49"/>
      <x:c r="C10" s="49"/>
      <x:c r="D10" s="49"/>
      <x:c r="E10" s="49"/>
      <x:c r="F10" s="49"/>
      <x:c r="G10" s="49"/>
      <x:c r="H10" s="49"/>
      <x:c r="I10" s="49"/>
      <x:c r="J10" s="49"/>
    </x:row>
    <x:row r="11">
      <x:c r="A11" s="49"/>
      <x:c r="B11" s="49"/>
      <x:c r="C11" s="49"/>
      <x:c r="D11" s="49"/>
      <x:c r="E11" s="49"/>
      <x:c r="F11" s="49"/>
      <x:c r="G11" s="49"/>
      <x:c r="H11" s="49"/>
      <x:c r="I11" s="49"/>
      <x:c r="J11" s="49"/>
    </x:row>
    <x:row r="12">
      <x:c r="A12" s="49"/>
      <x:c r="B12" s="49"/>
      <x:c r="C12" s="49"/>
      <x:c r="D12" s="49"/>
      <x:c r="E12" s="49"/>
      <x:c r="F12" s="49"/>
      <x:c r="G12" s="49"/>
      <x:c r="H12" s="49"/>
      <x:c r="I12" s="49"/>
      <x:c r="J12" s="49"/>
    </x:row>
    <x:row r="13">
      <x:c r="A13" s="49"/>
      <x:c r="B13" s="49"/>
      <x:c r="C13" s="49"/>
      <x:c r="D13" s="49"/>
      <x:c r="E13" s="49"/>
      <x:c r="F13" s="49"/>
      <x:c r="G13" s="49"/>
      <x:c r="H13" s="49"/>
      <x:c r="I13" s="49"/>
      <x:c r="J13" s="49"/>
    </x:row>
    <x:row r="14">
      <x:c r="A14" s="49"/>
      <x:c r="B14" s="49"/>
      <x:c r="C14" s="49"/>
      <x:c r="D14" s="49"/>
      <x:c r="E14" s="49"/>
      <x:c r="F14" s="49"/>
      <x:c r="G14" s="49"/>
      <x:c r="H14" s="49"/>
      <x:c r="I14" s="49"/>
      <x:c r="J14" s="49"/>
    </x:row>
    <x:row r="15">
      <x:c r="A15" s="49"/>
      <x:c r="B15" s="49"/>
      <x:c r="C15" s="49"/>
      <x:c r="D15" s="49"/>
      <x:c r="E15" s="49"/>
      <x:c r="F15" s="49"/>
      <x:c r="G15" s="49"/>
      <x:c r="H15" s="49"/>
      <x:c r="I15" s="49"/>
      <x:c r="J15" s="49"/>
    </x:row>
    <x:row r="16">
      <x:c r="A16" s="49"/>
      <x:c r="B16" s="49"/>
      <x:c r="C16" s="49"/>
      <x:c r="D16" s="49"/>
      <x:c r="E16" s="49"/>
      <x:c r="F16" s="49"/>
      <x:c r="G16" s="49"/>
      <x:c r="H16" s="49"/>
      <x:c r="I16" s="49"/>
      <x:c r="J16" s="49"/>
    </x:row>
    <x:row r="17">
      <x:c r="A17" s="49"/>
      <x:c r="B17" s="49"/>
      <x:c r="C17" s="49"/>
      <x:c r="D17" s="49"/>
      <x:c r="E17" s="49"/>
      <x:c r="F17" s="49"/>
      <x:c r="G17" s="49"/>
      <x:c r="H17" s="49"/>
      <x:c r="I17" s="49"/>
      <x:c r="J17" s="49"/>
    </x:row>
    <x:row r="18">
      <x:c r="A18" s="49"/>
      <x:c r="B18" s="49"/>
      <x:c r="C18" s="49"/>
      <x:c r="D18" s="49"/>
      <x:c r="E18" s="49"/>
      <x:c r="F18" s="49"/>
      <x:c r="G18" s="49"/>
      <x:c r="H18" s="49"/>
      <x:c r="I18" s="49"/>
      <x:c r="J18" s="49"/>
    </x:row>
    <x:row r="19">
      <x:c r="A19" s="49"/>
      <x:c r="B19" s="49"/>
      <x:c r="C19" s="49"/>
      <x:c r="D19" s="49"/>
      <x:c r="E19" s="49"/>
      <x:c r="F19" s="49"/>
      <x:c r="G19" s="49"/>
      <x:c r="H19" s="49"/>
      <x:c r="I19" s="49"/>
      <x:c r="J19" s="49"/>
    </x:row>
    <x:row r="20">
      <x:c r="A20" s="49"/>
      <x:c r="B20" s="49"/>
      <x:c r="C20" s="49"/>
      <x:c r="D20" s="49"/>
      <x:c r="E20" s="49"/>
      <x:c r="F20" s="49"/>
      <x:c r="G20" s="49"/>
      <x:c r="H20" s="49"/>
      <x:c r="I20" s="49"/>
      <x:c r="J20" s="49"/>
    </x:row>
    <x:row r="21">
      <x:c r="A21" s="49"/>
      <x:c r="B21" s="49"/>
      <x:c r="C21" s="49"/>
      <x:c r="D21" s="49"/>
      <x:c r="E21" s="49"/>
      <x:c r="F21" s="49"/>
      <x:c r="G21" s="49"/>
      <x:c r="H21" s="49"/>
      <x:c r="I21" s="49"/>
      <x:c r="J21" s="49"/>
    </x:row>
    <x:row r="22">
      <x:c r="A22" s="49"/>
      <x:c r="B22" s="49"/>
      <x:c r="C22" s="49"/>
      <x:c r="D22" s="49"/>
      <x:c r="E22" s="49"/>
      <x:c r="F22" s="49"/>
      <x:c r="G22" s="49"/>
      <x:c r="H22" s="49"/>
      <x:c r="I22" s="49"/>
      <x:c r="J22" s="49"/>
    </x:row>
    <x:row r="23">
      <x:c r="A23" s="49"/>
      <x:c r="B23" s="49"/>
      <x:c r="C23" s="49"/>
      <x:c r="D23" s="49"/>
      <x:c r="E23" s="49"/>
      <x:c r="F23" s="49"/>
      <x:c r="G23" s="49"/>
      <x:c r="H23" s="49"/>
      <x:c r="I23" s="49"/>
      <x:c r="J23" s="49"/>
    </x:row>
    <x:row r="24">
      <x:c r="A24" s="49"/>
      <x:c r="B24" s="49"/>
      <x:c r="C24" s="49"/>
      <x:c r="D24" s="49"/>
      <x:c r="E24" s="49"/>
      <x:c r="F24" s="49"/>
      <x:c r="G24" s="49"/>
      <x:c r="H24" s="49"/>
      <x:c r="I24" s="49"/>
      <x:c r="J24" s="49"/>
    </x:row>
    <x:row r="25">
      <x:c r="A25" s="49"/>
      <x:c r="B25" s="49"/>
      <x:c r="C25" s="49"/>
      <x:c r="D25" s="49"/>
      <x:c r="E25" s="49"/>
      <x:c r="F25" s="49"/>
      <x:c r="G25" s="49"/>
      <x:c r="H25" s="49"/>
      <x:c r="I25" s="49"/>
      <x:c r="J25" s="49"/>
    </x:row>
    <x:row r="26">
      <x:c r="A26" s="49"/>
      <x:c r="B26" s="49"/>
      <x:c r="C26" s="49"/>
      <x:c r="D26" s="49"/>
      <x:c r="E26" s="49"/>
      <x:c r="F26" s="49"/>
      <x:c r="G26" s="49"/>
      <x:c r="H26" s="49"/>
      <x:c r="I26" s="49"/>
      <x:c r="J26" s="49"/>
    </x:row>
    <x:row r="27">
      <x:c r="A27" s="49"/>
      <x:c r="B27" s="49"/>
      <x:c r="C27" s="49"/>
      <x:c r="D27" s="49"/>
      <x:c r="E27" s="49"/>
      <x:c r="F27" s="49"/>
      <x:c r="G27" s="49"/>
      <x:c r="H27" s="49"/>
      <x:c r="I27" s="49"/>
      <x:c r="J27" s="49"/>
    </x:row>
    <x:row r="28">
      <x:c r="A28" s="49"/>
      <x:c r="B28" s="49"/>
      <x:c r="C28" s="49"/>
      <x:c r="D28" s="49"/>
      <x:c r="E28" s="49"/>
      <x:c r="F28" s="49"/>
      <x:c r="G28" s="49"/>
      <x:c r="H28" s="49"/>
      <x:c r="I28" s="49"/>
      <x:c r="J28" s="49"/>
    </x:row>
    <x:row r="29">
      <x:c r="A29" s="49"/>
      <x:c r="B29" s="49"/>
      <x:c r="C29" s="49"/>
      <x:c r="D29" s="49"/>
      <x:c r="E29" s="49"/>
      <x:c r="F29" s="49"/>
      <x:c r="G29" s="49"/>
      <x:c r="H29" s="49"/>
      <x:c r="I29" s="49"/>
      <x:c r="J29" s="49"/>
    </x:row>
    <x:row r="30">
      <x:c r="A30" s="49"/>
      <x:c r="B30" s="49"/>
      <x:c r="C30" s="49"/>
      <x:c r="D30" s="49"/>
      <x:c r="E30" s="49"/>
      <x:c r="F30" s="49"/>
      <x:c r="G30" s="49"/>
      <x:c r="H30" s="49"/>
      <x:c r="I30" s="49"/>
      <x:c r="J30" s="49"/>
    </x:row>
    <x:row r="31">
      <x:c r="A31" s="49"/>
      <x:c r="B31" s="49"/>
      <x:c r="C31" s="49"/>
      <x:c r="D31" s="49"/>
      <x:c r="E31" s="49"/>
      <x:c r="F31" s="49"/>
      <x:c r="G31" s="49"/>
      <x:c r="H31" s="49"/>
      <x:c r="I31" s="49"/>
      <x:c r="J31" s="49"/>
    </x:row>
    <x:row r="32">
      <x:c r="A32" s="49"/>
      <x:c r="B32" s="49"/>
      <x:c r="C32" s="49"/>
      <x:c r="D32" s="49"/>
      <x:c r="E32" s="49"/>
      <x:c r="F32" s="49"/>
      <x:c r="G32" s="49"/>
      <x:c r="H32" s="49"/>
      <x:c r="I32" s="49"/>
      <x:c r="J32" s="49"/>
    </x:row>
    <x:row r="33">
      <x:c r="A33" s="49"/>
      <x:c r="B33" s="49"/>
      <x:c r="C33" s="49"/>
      <x:c r="D33" s="49"/>
      <x:c r="E33" s="49"/>
      <x:c r="F33" s="49"/>
      <x:c r="G33" s="49"/>
      <x:c r="H33" s="49"/>
      <x:c r="I33" s="49"/>
      <x:c r="J33" s="49"/>
    </x:row>
    <x:row r="34">
      <x:c r="A34" s="49"/>
      <x:c r="B34" s="49"/>
      <x:c r="C34" s="49"/>
      <x:c r="D34" s="49"/>
      <x:c r="E34" s="49"/>
      <x:c r="F34" s="49"/>
      <x:c r="G34" s="49"/>
      <x:c r="H34" s="49"/>
      <x:c r="I34" s="49"/>
      <x:c r="J34" s="49"/>
    </x:row>
    <x:row r="35">
      <x:c r="A35" s="49"/>
      <x:c r="B35" s="49"/>
      <x:c r="C35" s="49"/>
      <x:c r="D35" s="49"/>
      <x:c r="E35" s="49"/>
      <x:c r="F35" s="49"/>
      <x:c r="G35" s="49"/>
      <x:c r="H35" s="49"/>
      <x:c r="I35" s="49"/>
      <x:c r="J35" s="49"/>
    </x:row>
    <x:row r="36">
      <x:c r="A36" s="49"/>
      <x:c r="B36" s="49"/>
      <x:c r="C36" s="49"/>
      <x:c r="D36" s="49"/>
      <x:c r="E36" s="49"/>
      <x:c r="F36" s="49"/>
      <x:c r="G36" s="49"/>
      <x:c r="H36" s="49"/>
      <x:c r="I36" s="49"/>
      <x:c r="J36" s="49"/>
    </x:row>
    <x:row r="37">
      <x:c r="A37" s="49"/>
      <x:c r="B37" s="49"/>
      <x:c r="C37" s="49"/>
      <x:c r="D37" s="49"/>
      <x:c r="E37" s="49"/>
      <x:c r="F37" s="49"/>
      <x:c r="G37" s="49"/>
      <x:c r="H37" s="49"/>
      <x:c r="I37" s="49"/>
      <x:c r="J37" s="49"/>
    </x:row>
    <x:row r="38">
      <x:c r="A38" s="49"/>
      <x:c r="B38" s="49"/>
      <x:c r="C38" s="49"/>
      <x:c r="D38" s="49"/>
      <x:c r="E38" s="49"/>
      <x:c r="F38" s="49"/>
      <x:c r="G38" s="49"/>
      <x:c r="H38" s="49"/>
      <x:c r="I38" s="49"/>
      <x:c r="J38" s="49"/>
    </x:row>
    <x:row r="39">
      <x:c r="A39" s="49"/>
      <x:c r="B39" s="49"/>
      <x:c r="C39" s="49"/>
      <x:c r="D39" s="49"/>
      <x:c r="E39" s="49"/>
      <x:c r="F39" s="49"/>
      <x:c r="G39" s="49"/>
      <x:c r="H39" s="49"/>
      <x:c r="I39" s="49"/>
      <x:c r="J39" s="49"/>
    </x:row>
    <x:row r="40">
      <x:c r="A40" s="49"/>
      <x:c r="B40" s="49"/>
      <x:c r="C40" s="49"/>
      <x:c r="D40" s="49"/>
      <x:c r="E40" s="49"/>
      <x:c r="F40" s="49"/>
      <x:c r="G40" s="49"/>
      <x:c r="H40" s="49"/>
      <x:c r="I40" s="49"/>
      <x:c r="J40" s="49"/>
    </x:row>
    <x:row r="41">
      <x:c r="A41" s="49"/>
      <x:c r="B41" s="49"/>
      <x:c r="C41" s="49"/>
      <x:c r="D41" s="49"/>
      <x:c r="E41" s="49"/>
      <x:c r="F41" s="49"/>
      <x:c r="G41" s="49"/>
      <x:c r="H41" s="49"/>
      <x:c r="I41" s="49"/>
      <x:c r="J41" s="49"/>
    </x:row>
    <x:row r="42">
      <x:c r="A42" s="49"/>
      <x:c r="B42" s="49"/>
      <x:c r="C42" s="49"/>
      <x:c r="D42" s="49"/>
      <x:c r="E42" s="49"/>
      <x:c r="F42" s="49"/>
      <x:c r="G42" s="49"/>
      <x:c r="H42" s="49"/>
      <x:c r="I42" s="49"/>
      <x:c r="J42" s="49"/>
    </x:row>
    <x:row r="43">
      <x:c r="A43" s="49"/>
      <x:c r="B43" s="49"/>
      <x:c r="C43" s="49"/>
      <x:c r="D43" s="49"/>
      <x:c r="E43" s="49"/>
      <x:c r="F43" s="49"/>
      <x:c r="G43" s="49"/>
      <x:c r="H43" s="49"/>
      <x:c r="I43" s="49"/>
      <x:c r="J43" s="49"/>
    </x:row>
    <x:row r="44">
      <x:c r="A44" s="49"/>
      <x:c r="B44" s="49"/>
      <x:c r="C44" s="49"/>
      <x:c r="D44" s="49"/>
      <x:c r="E44" s="49"/>
      <x:c r="F44" s="49"/>
      <x:c r="G44" s="49"/>
      <x:c r="H44" s="49"/>
      <x:c r="I44" s="49"/>
      <x:c r="J44" s="49"/>
    </x:row>
    <x:row r="45">
      <x:c r="A45" s="49"/>
      <x:c r="B45" s="49"/>
      <x:c r="C45" s="49"/>
      <x:c r="D45" s="49"/>
      <x:c r="E45" s="49"/>
      <x:c r="F45" s="49"/>
      <x:c r="G45" s="49"/>
      <x:c r="H45" s="49"/>
      <x:c r="I45" s="49"/>
      <x:c r="J45" s="49"/>
    </x:row>
    <x:row r="46">
      <x:c r="A46" s="49"/>
      <x:c r="B46" s="49"/>
      <x:c r="C46" s="49"/>
      <x:c r="D46" s="49"/>
      <x:c r="E46" s="49"/>
      <x:c r="F46" s="49"/>
      <x:c r="G46" s="49"/>
      <x:c r="H46" s="49"/>
      <x:c r="I46" s="49"/>
      <x:c r="J46" s="49"/>
    </x:row>
    <x:row r="47">
      <x:c r="A47" s="49"/>
      <x:c r="B47" s="49"/>
      <x:c r="C47" s="49"/>
      <x:c r="D47" s="49"/>
      <x:c r="E47" s="49"/>
      <x:c r="F47" s="49"/>
      <x:c r="G47" s="49"/>
      <x:c r="H47" s="49"/>
      <x:c r="I47" s="49"/>
      <x:c r="J47" s="49"/>
    </x:row>
    <x:row r="48">
      <x:c r="A48" s="49"/>
      <x:c r="B48" s="49"/>
      <x:c r="C48" s="49"/>
      <x:c r="D48" s="49"/>
      <x:c r="E48" s="49"/>
      <x:c r="F48" s="49"/>
      <x:c r="G48" s="49"/>
      <x:c r="H48" s="49"/>
      <x:c r="I48" s="49"/>
      <x:c r="J48" s="49"/>
    </x:row>
    <x:row r="49">
      <x:c r="A49" s="49"/>
      <x:c r="B49" s="49"/>
      <x:c r="C49" s="49"/>
      <x:c r="D49" s="49"/>
      <x:c r="E49" s="49"/>
      <x:c r="F49" s="49"/>
      <x:c r="G49" s="49"/>
      <x:c r="H49" s="49"/>
      <x:c r="I49" s="49"/>
      <x:c r="J49" s="49"/>
    </x:row>
    <x:row r="50">
      <x:c r="A50" s="49"/>
      <x:c r="B50" s="49"/>
      <x:c r="C50" s="49"/>
      <x:c r="D50" s="49"/>
      <x:c r="E50" s="49"/>
      <x:c r="F50" s="49"/>
      <x:c r="G50" s="49"/>
      <x:c r="H50" s="49"/>
      <x:c r="I50" s="49"/>
      <x:c r="J50" s="49"/>
    </x:row>
    <x:row r="51">
      <x:c r="A51" s="49"/>
      <x:c r="B51" s="49"/>
      <x:c r="C51" s="49"/>
      <x:c r="D51" s="49"/>
      <x:c r="E51" s="49"/>
      <x:c r="F51" s="49"/>
      <x:c r="G51" s="49"/>
      <x:c r="H51" s="49"/>
      <x:c r="I51" s="49"/>
      <x:c r="J51" s="49"/>
    </x:row>
    <x:row r="52">
      <x:c r="A52" s="50"/>
      <x:c r="B52" s="50"/>
      <x:c r="C52" s="50"/>
      <x:c r="D52" s="50"/>
      <x:c r="E52" s="50"/>
      <x:c r="F52" s="50"/>
      <x:c r="G52" s="50"/>
      <x:c r="H52" s="50"/>
      <x:c r="I52" s="50"/>
      <x:c r="J52" s="50"/>
    </x:row>
  </x:sheetData>
  <x:mergeCells>
    <x:mergeCell ref="A1:J1"/>
  </x:mergeCells>
  <x:conditionalFormatting sqref="I3:I52">
    <x:cfRule type="containsText" dxfId="18" priority="1" operator="containsText" text="READY"/>
    <x:cfRule type="containsText" dxfId="19" priority="2" operator="containsText" text="PASS"/>
    <x:cfRule type="containsText" dxfId="20" priority="3" operator="containsText" text="PENDING"/>
    <x:cfRule type="containsText" dxfId="21" priority="4" operator="containsText" text="WARNING"/>
    <x:cfRule type="containsText" dxfId="22" priority="5" operator="containsText" text="FAIL"/>
    <x:cfRule type="containsText" dxfId="23" priority="6" operator="containsText" text="BLOCKED"/>
  </x:conditionalFormatting>
  <x:dataValidations count="3">
    <x:dataValidation type="list" sqref="D3:D52">
      <x:formula1>"BLOCKING,SEATING,POSE,CHARACTER_PROP,EXPRESSION,INTERACTION,START_FRAME,END_FRAME"</x:formula1>
    </x:dataValidation>
    <x:dataValidation type="whole" operator="between" sqref="G3:G52">
      <x:formula1>0</x:formula1>
      <x:formula2>3</x:formula2>
    </x:dataValidation>
    <x:dataValidation type="list" sqref="I3:I52">
      <x:formula1>"PENDING,IN_PROGRESS,READY,BLOCKED,STALE"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9512b59d5ea0423f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15" hidden="0" customWidth="1"/>
    <x:col min="3" max="3" width="17" hidden="0" customWidth="1"/>
    <x:col min="4" max="4" width="13" hidden="0" customWidth="1"/>
    <x:col min="5" max="5" width="24" hidden="0" customWidth="1"/>
    <x:col min="6" max="6" width="13" hidden="0" customWidth="1"/>
    <x:col min="7" max="7" width="38" hidden="0" customWidth="1"/>
    <x:col min="8" max="8" width="42" hidden="0" customWidth="1"/>
    <x:col min="9" max="9" width="55" hidden="0" customWidth="1"/>
    <x:col min="10" max="10" width="15" hidden="0" customWidth="1"/>
    <x:col min="11" max="11" width="14" hidden="0" customWidth="1"/>
    <x:col min="12" max="12" width="12" hidden="0" customWidth="1"/>
  </x:cols>
  <x:sheetData>
    <x:row r="1" ht="30" customHeight="1">
      <x:c r="A1" s="44" t="str">
        <x:v>视频输入包｜资产、制作说明与纯净提示词严格分层</x:v>
      </x:c>
      <x:c r="B1" s="44"/>
      <x:c r="C1" s="44"/>
      <x:c r="D1" s="44"/>
      <x:c r="E1" s="44"/>
      <x:c r="F1" s="44"/>
      <x:c r="G1" s="44"/>
      <x:c r="H1" s="44"/>
      <x:c r="I1" s="44"/>
      <x:c r="J1" s="44"/>
      <x:c r="K1" s="44"/>
      <x:c r="L1" s="44"/>
    </x:row>
    <x:row r="2">
      <x:c r="A2" s="45" t="str">
        <x:v>集数</x:v>
      </x:c>
      <x:c r="B2" s="46" t="str">
        <x:v>分镜组</x:v>
      </x:c>
      <x:c r="C2" s="46" t="str">
        <x:v>模型配置</x:v>
      </x:c>
      <x:c r="D2" s="46" t="str">
        <x:v>实际时长秒</x:v>
      </x:c>
      <x:c r="E2" s="46" t="str">
        <x:v>时长例外原因</x:v>
      </x:c>
      <x:c r="F2" s="46" t="str">
        <x:v>内部镜头数</x:v>
      </x:c>
      <x:c r="G2" s="46" t="str">
        <x:v>资产调用清单</x:v>
      </x:c>
      <x:c r="H2" s="46" t="str">
        <x:v>制作说明与前后衔接</x:v>
      </x:c>
      <x:c r="I2" s="46" t="str">
        <x:v>纯净视频提示词</x:v>
      </x:c>
      <x:c r="J2" s="46" t="str">
        <x:v>三审状态</x:v>
      </x:c>
      <x:c r="K2" s="46" t="str">
        <x:v>时长检查</x:v>
      </x:c>
      <x:c r="L2" s="47" t="str">
        <x:v>可生产</x:v>
      </x:c>
    </x:row>
    <x:row r="3">
      <x:c r="A3" s="48" t="n">
        <x:v>1</x:v>
      </x:c>
      <x:c r="B3" s="48" t="str">
        <x:v>EP001-SG01</x:v>
      </x:c>
      <x:c r="C3" s="48" t="str">
        <x:v>seedance-2.0</x:v>
      </x:c>
      <x:c r="D3" s="48" t="n">
        <x:v>15</x:v>
      </x:c>
      <x:c r="E3" s="48" t="str"/>
      <x:c r="F3" s="48" t="n">
        <x:v>5</x:v>
      </x:c>
      <x:c r="G3" s="48" t="str">
        <x:v>列出资产及锁定职责</x:v>
      </x:c>
      <x:c r="H3" s="48" t="str">
        <x:v>列出场景、光影、轴线、站位和声音衔接；默认不用首尾帧</x:v>
      </x:c>
      <x:c r="I3" s="48" t="str">
        <x:v>每个含语言镜头都在本镜末尾追加禁字幕固定句</x:v>
      </x:c>
      <x:c r="J3" s="48" t="str">
        <x:v>PENDING</x:v>
      </x:c>
      <x:c r="K3" s="48" t="str">
        <x:f>IF(B3="","",IF(C3="seedance-2.0",IF(D3&lt;=15,"PASS","FAIL"),IF(C3="seedance-2.5",IF(AND(D3&lt;=30,OR(D3&gt;=20,E3&lt;&gt;"")),"PASS","FAIL"),"FAIL")))</x:f>
        <x:v>PASS</x:v>
      </x:c>
      <x:c r="L3" s="48" t="str">
        <x:f>IF(B3="","",IF(AND(J3="PASS",K3="PASS"),"是","否"))</x:f>
        <x:v>否</x:v>
      </x:c>
    </x:row>
    <x:row r="4">
      <x:c r="A4" s="49"/>
      <x:c r="B4" s="49"/>
      <x:c r="C4" s="49"/>
      <x:c r="D4" s="49"/>
      <x:c r="E4" s="49"/>
      <x:c r="F4" s="49"/>
      <x:c r="G4" s="49"/>
      <x:c r="H4" s="49"/>
      <x:c r="I4" s="49"/>
      <x:c r="J4" s="49"/>
      <x:c r="K4" s="49" t="str">
        <x:f>IF(B4="","",IF(C4="seedance-2.0",IF(D4&lt;=15,"PASS","FAIL"),IF(C4="seedance-2.5",IF(AND(D4&lt;=30,OR(D4&gt;=20,E4&lt;&gt;"")),"PASS","FAIL"),"FAIL")))</x:f>
      </x:c>
      <x:c r="L4" s="49" t="str">
        <x:f>IF(B4="","",IF(AND(J4="PASS",K4="PASS"),"是","否"))</x:f>
      </x:c>
    </x:row>
    <x:row r="5">
      <x:c r="A5" s="49"/>
      <x:c r="B5" s="49"/>
      <x:c r="C5" s="49"/>
      <x:c r="D5" s="49"/>
      <x:c r="E5" s="49"/>
      <x:c r="F5" s="49"/>
      <x:c r="G5" s="49"/>
      <x:c r="H5" s="49"/>
      <x:c r="I5" s="49"/>
      <x:c r="J5" s="49"/>
      <x:c r="K5" s="49" t="str">
        <x:f>IF(B5="","",IF(C5="seedance-2.0",IF(D5&lt;=15,"PASS","FAIL"),IF(C5="seedance-2.5",IF(AND(D5&lt;=30,OR(D5&gt;=20,E5&lt;&gt;"")),"PASS","FAIL"),"FAIL")))</x:f>
      </x:c>
      <x:c r="L5" s="49" t="str">
        <x:f>IF(B5="","",IF(AND(J5="PASS",K5="PASS"),"是","否"))</x:f>
      </x:c>
    </x:row>
    <x:row r="6">
      <x:c r="A6" s="49"/>
      <x:c r="B6" s="49"/>
      <x:c r="C6" s="49"/>
      <x:c r="D6" s="49"/>
      <x:c r="E6" s="49"/>
      <x:c r="F6" s="49"/>
      <x:c r="G6" s="49"/>
      <x:c r="H6" s="49"/>
      <x:c r="I6" s="49"/>
      <x:c r="J6" s="49"/>
      <x:c r="K6" s="49" t="str">
        <x:f>IF(B6="","",IF(C6="seedance-2.0",IF(D6&lt;=15,"PASS","FAIL"),IF(C6="seedance-2.5",IF(AND(D6&lt;=30,OR(D6&gt;=20,E6&lt;&gt;"")),"PASS","FAIL"),"FAIL")))</x:f>
      </x:c>
      <x:c r="L6" s="49" t="str">
        <x:f>IF(B6="","",IF(AND(J6="PASS",K6="PASS"),"是","否"))</x:f>
      </x:c>
    </x:row>
    <x:row r="7">
      <x:c r="A7" s="49"/>
      <x:c r="B7" s="49"/>
      <x:c r="C7" s="49"/>
      <x:c r="D7" s="49"/>
      <x:c r="E7" s="49"/>
      <x:c r="F7" s="49"/>
      <x:c r="G7" s="49"/>
      <x:c r="H7" s="49"/>
      <x:c r="I7" s="49"/>
      <x:c r="J7" s="49"/>
      <x:c r="K7" s="49" t="str">
        <x:f>IF(B7="","",IF(C7="seedance-2.0",IF(D7&lt;=15,"PASS","FAIL"),IF(C7="seedance-2.5",IF(AND(D7&lt;=30,OR(D7&gt;=20,E7&lt;&gt;"")),"PASS","FAIL"),"FAIL")))</x:f>
      </x:c>
      <x:c r="L7" s="49" t="str">
        <x:f>IF(B7="","",IF(AND(J7="PASS",K7="PASS"),"是","否"))</x:f>
      </x:c>
    </x:row>
    <x:row r="8">
      <x:c r="A8" s="49"/>
      <x:c r="B8" s="49"/>
      <x:c r="C8" s="49"/>
      <x:c r="D8" s="49"/>
      <x:c r="E8" s="49"/>
      <x:c r="F8" s="49"/>
      <x:c r="G8" s="49"/>
      <x:c r="H8" s="49"/>
      <x:c r="I8" s="49"/>
      <x:c r="J8" s="49"/>
      <x:c r="K8" s="49" t="str">
        <x:f>IF(B8="","",IF(C8="seedance-2.0",IF(D8&lt;=15,"PASS","FAIL"),IF(C8="seedance-2.5",IF(AND(D8&lt;=30,OR(D8&gt;=20,E8&lt;&gt;"")),"PASS","FAIL"),"FAIL")))</x:f>
      </x:c>
      <x:c r="L8" s="49" t="str">
        <x:f>IF(B8="","",IF(AND(J8="PASS",K8="PASS"),"是","否"))</x:f>
      </x:c>
    </x:row>
    <x:row r="9">
      <x:c r="A9" s="49"/>
      <x:c r="B9" s="49"/>
      <x:c r="C9" s="49"/>
      <x:c r="D9" s="49"/>
      <x:c r="E9" s="49"/>
      <x:c r="F9" s="49"/>
      <x:c r="G9" s="49"/>
      <x:c r="H9" s="49"/>
      <x:c r="I9" s="49"/>
      <x:c r="J9" s="49"/>
      <x:c r="K9" s="49" t="str">
        <x:f>IF(B9="","",IF(C9="seedance-2.0",IF(D9&lt;=15,"PASS","FAIL"),IF(C9="seedance-2.5",IF(AND(D9&lt;=30,OR(D9&gt;=20,E9&lt;&gt;"")),"PASS","FAIL"),"FAIL")))</x:f>
      </x:c>
      <x:c r="L9" s="49" t="str">
        <x:f>IF(B9="","",IF(AND(J9="PASS",K9="PASS"),"是","否"))</x:f>
      </x:c>
    </x:row>
    <x:row r="10">
      <x:c r="A10" s="49"/>
      <x:c r="B10" s="49"/>
      <x:c r="C10" s="49"/>
      <x:c r="D10" s="49"/>
      <x:c r="E10" s="49"/>
      <x:c r="F10" s="49"/>
      <x:c r="G10" s="49"/>
      <x:c r="H10" s="49"/>
      <x:c r="I10" s="49"/>
      <x:c r="J10" s="49"/>
      <x:c r="K10" s="49" t="str">
        <x:f>IF(B10="","",IF(C10="seedance-2.0",IF(D10&lt;=15,"PASS","FAIL"),IF(C10="seedance-2.5",IF(AND(D10&lt;=30,OR(D10&gt;=20,E10&lt;&gt;"")),"PASS","FAIL"),"FAIL")))</x:f>
      </x:c>
      <x:c r="L10" s="49" t="str">
        <x:f>IF(B10="","",IF(AND(J10="PASS",K10="PASS"),"是","否"))</x:f>
      </x:c>
    </x:row>
    <x:row r="11">
      <x:c r="A11" s="49"/>
      <x:c r="B11" s="49"/>
      <x:c r="C11" s="49"/>
      <x:c r="D11" s="49"/>
      <x:c r="E11" s="49"/>
      <x:c r="F11" s="49"/>
      <x:c r="G11" s="49"/>
      <x:c r="H11" s="49"/>
      <x:c r="I11" s="49"/>
      <x:c r="J11" s="49"/>
      <x:c r="K11" s="49" t="str">
        <x:f>IF(B11="","",IF(C11="seedance-2.0",IF(D11&lt;=15,"PASS","FAIL"),IF(C11="seedance-2.5",IF(AND(D11&lt;=30,OR(D11&gt;=20,E11&lt;&gt;"")),"PASS","FAIL"),"FAIL")))</x:f>
      </x:c>
      <x:c r="L11" s="49" t="str">
        <x:f>IF(B11="","",IF(AND(J11="PASS",K11="PASS"),"是","否"))</x:f>
      </x:c>
    </x:row>
    <x:row r="12">
      <x:c r="A12" s="49"/>
      <x:c r="B12" s="49"/>
      <x:c r="C12" s="49"/>
      <x:c r="D12" s="49"/>
      <x:c r="E12" s="49"/>
      <x:c r="F12" s="49"/>
      <x:c r="G12" s="49"/>
      <x:c r="H12" s="49"/>
      <x:c r="I12" s="49"/>
      <x:c r="J12" s="49"/>
      <x:c r="K12" s="49" t="str">
        <x:f>IF(B12="","",IF(C12="seedance-2.0",IF(D12&lt;=15,"PASS","FAIL"),IF(C12="seedance-2.5",IF(AND(D12&lt;=30,OR(D12&gt;=20,E12&lt;&gt;"")),"PASS","FAIL"),"FAIL")))</x:f>
      </x:c>
      <x:c r="L12" s="49" t="str">
        <x:f>IF(B12="","",IF(AND(J12="PASS",K12="PASS"),"是","否"))</x:f>
      </x:c>
    </x:row>
    <x:row r="13">
      <x:c r="A13" s="49"/>
      <x:c r="B13" s="49"/>
      <x:c r="C13" s="49"/>
      <x:c r="D13" s="49"/>
      <x:c r="E13" s="49"/>
      <x:c r="F13" s="49"/>
      <x:c r="G13" s="49"/>
      <x:c r="H13" s="49"/>
      <x:c r="I13" s="49"/>
      <x:c r="J13" s="49"/>
      <x:c r="K13" s="49" t="str">
        <x:f>IF(B13="","",IF(C13="seedance-2.0",IF(D13&lt;=15,"PASS","FAIL"),IF(C13="seedance-2.5",IF(AND(D13&lt;=30,OR(D13&gt;=20,E13&lt;&gt;"")),"PASS","FAIL"),"FAIL")))</x:f>
      </x:c>
      <x:c r="L13" s="49" t="str">
        <x:f>IF(B13="","",IF(AND(J13="PASS",K13="PASS"),"是","否"))</x:f>
      </x:c>
    </x:row>
    <x:row r="14">
      <x:c r="A14" s="49"/>
      <x:c r="B14" s="49"/>
      <x:c r="C14" s="49"/>
      <x:c r="D14" s="49"/>
      <x:c r="E14" s="49"/>
      <x:c r="F14" s="49"/>
      <x:c r="G14" s="49"/>
      <x:c r="H14" s="49"/>
      <x:c r="I14" s="49"/>
      <x:c r="J14" s="49"/>
      <x:c r="K14" s="49" t="str">
        <x:f>IF(B14="","",IF(C14="seedance-2.0",IF(D14&lt;=15,"PASS","FAIL"),IF(C14="seedance-2.5",IF(AND(D14&lt;=30,OR(D14&gt;=20,E14&lt;&gt;"")),"PASS","FAIL"),"FAIL")))</x:f>
      </x:c>
      <x:c r="L14" s="49" t="str">
        <x:f>IF(B14="","",IF(AND(J14="PASS",K14="PASS"),"是","否"))</x:f>
      </x:c>
    </x:row>
    <x:row r="15">
      <x:c r="A15" s="49"/>
      <x:c r="B15" s="49"/>
      <x:c r="C15" s="49"/>
      <x:c r="D15" s="49"/>
      <x:c r="E15" s="49"/>
      <x:c r="F15" s="49"/>
      <x:c r="G15" s="49"/>
      <x:c r="H15" s="49"/>
      <x:c r="I15" s="49"/>
      <x:c r="J15" s="49"/>
      <x:c r="K15" s="49" t="str">
        <x:f>IF(B15="","",IF(C15="seedance-2.0",IF(D15&lt;=15,"PASS","FAIL"),IF(C15="seedance-2.5",IF(AND(D15&lt;=30,OR(D15&gt;=20,E15&lt;&gt;"")),"PASS","FAIL"),"FAIL")))</x:f>
      </x:c>
      <x:c r="L15" s="49" t="str">
        <x:f>IF(B15="","",IF(AND(J15="PASS",K15="PASS"),"是","否"))</x:f>
      </x:c>
    </x:row>
    <x:row r="16">
      <x:c r="A16" s="49"/>
      <x:c r="B16" s="49"/>
      <x:c r="C16" s="49"/>
      <x:c r="D16" s="49"/>
      <x:c r="E16" s="49"/>
      <x:c r="F16" s="49"/>
      <x:c r="G16" s="49"/>
      <x:c r="H16" s="49"/>
      <x:c r="I16" s="49"/>
      <x:c r="J16" s="49"/>
      <x:c r="K16" s="49" t="str">
        <x:f>IF(B16="","",IF(C16="seedance-2.0",IF(D16&lt;=15,"PASS","FAIL"),IF(C16="seedance-2.5",IF(AND(D16&lt;=30,OR(D16&gt;=20,E16&lt;&gt;"")),"PASS","FAIL"),"FAIL")))</x:f>
      </x:c>
      <x:c r="L16" s="49" t="str">
        <x:f>IF(B16="","",IF(AND(J16="PASS",K16="PASS"),"是","否"))</x:f>
      </x:c>
    </x:row>
    <x:row r="17">
      <x:c r="A17" s="49"/>
      <x:c r="B17" s="49"/>
      <x:c r="C17" s="49"/>
      <x:c r="D17" s="49"/>
      <x:c r="E17" s="49"/>
      <x:c r="F17" s="49"/>
      <x:c r="G17" s="49"/>
      <x:c r="H17" s="49"/>
      <x:c r="I17" s="49"/>
      <x:c r="J17" s="49"/>
      <x:c r="K17" s="49" t="str">
        <x:f>IF(B17="","",IF(C17="seedance-2.0",IF(D17&lt;=15,"PASS","FAIL"),IF(C17="seedance-2.5",IF(AND(D17&lt;=30,OR(D17&gt;=20,E17&lt;&gt;"")),"PASS","FAIL"),"FAIL")))</x:f>
      </x:c>
      <x:c r="L17" s="49" t="str">
        <x:f>IF(B17="","",IF(AND(J17="PASS",K17="PASS"),"是","否"))</x:f>
      </x:c>
    </x:row>
    <x:row r="18">
      <x:c r="A18" s="49"/>
      <x:c r="B18" s="49"/>
      <x:c r="C18" s="49"/>
      <x:c r="D18" s="49"/>
      <x:c r="E18" s="49"/>
      <x:c r="F18" s="49"/>
      <x:c r="G18" s="49"/>
      <x:c r="H18" s="49"/>
      <x:c r="I18" s="49"/>
      <x:c r="J18" s="49"/>
      <x:c r="K18" s="49" t="str">
        <x:f>IF(B18="","",IF(C18="seedance-2.0",IF(D18&lt;=15,"PASS","FAIL"),IF(C18="seedance-2.5",IF(AND(D18&lt;=30,OR(D18&gt;=20,E18&lt;&gt;"")),"PASS","FAIL"),"FAIL")))</x:f>
      </x:c>
      <x:c r="L18" s="49" t="str">
        <x:f>IF(B18="","",IF(AND(J18="PASS",K18="PASS"),"是","否"))</x:f>
      </x:c>
    </x:row>
    <x:row r="19">
      <x:c r="A19" s="49"/>
      <x:c r="B19" s="49"/>
      <x:c r="C19" s="49"/>
      <x:c r="D19" s="49"/>
      <x:c r="E19" s="49"/>
      <x:c r="F19" s="49"/>
      <x:c r="G19" s="49"/>
      <x:c r="H19" s="49"/>
      <x:c r="I19" s="49"/>
      <x:c r="J19" s="49"/>
      <x:c r="K19" s="49" t="str">
        <x:f>IF(B19="","",IF(C19="seedance-2.0",IF(D19&lt;=15,"PASS","FAIL"),IF(C19="seedance-2.5",IF(AND(D19&lt;=30,OR(D19&gt;=20,E19&lt;&gt;"")),"PASS","FAIL"),"FAIL")))</x:f>
      </x:c>
      <x:c r="L19" s="49" t="str">
        <x:f>IF(B19="","",IF(AND(J19="PASS",K19="PASS"),"是","否"))</x:f>
      </x:c>
    </x:row>
    <x:row r="20">
      <x:c r="A20" s="49"/>
      <x:c r="B20" s="49"/>
      <x:c r="C20" s="49"/>
      <x:c r="D20" s="49"/>
      <x:c r="E20" s="49"/>
      <x:c r="F20" s="49"/>
      <x:c r="G20" s="49"/>
      <x:c r="H20" s="49"/>
      <x:c r="I20" s="49"/>
      <x:c r="J20" s="49"/>
      <x:c r="K20" s="49" t="str">
        <x:f>IF(B20="","",IF(C20="seedance-2.0",IF(D20&lt;=15,"PASS","FAIL"),IF(C20="seedance-2.5",IF(AND(D20&lt;=30,OR(D20&gt;=20,E20&lt;&gt;"")),"PASS","FAIL"),"FAIL")))</x:f>
      </x:c>
      <x:c r="L20" s="49" t="str">
        <x:f>IF(B20="","",IF(AND(J20="PASS",K20="PASS"),"是","否"))</x:f>
      </x:c>
    </x:row>
    <x:row r="21">
      <x:c r="A21" s="49"/>
      <x:c r="B21" s="49"/>
      <x:c r="C21" s="49"/>
      <x:c r="D21" s="49"/>
      <x:c r="E21" s="49"/>
      <x:c r="F21" s="49"/>
      <x:c r="G21" s="49"/>
      <x:c r="H21" s="49"/>
      <x:c r="I21" s="49"/>
      <x:c r="J21" s="49"/>
      <x:c r="K21" s="49" t="str">
        <x:f>IF(B21="","",IF(C21="seedance-2.0",IF(D21&lt;=15,"PASS","FAIL"),IF(C21="seedance-2.5",IF(AND(D21&lt;=30,OR(D21&gt;=20,E21&lt;&gt;"")),"PASS","FAIL"),"FAIL")))</x:f>
      </x:c>
      <x:c r="L21" s="49" t="str">
        <x:f>IF(B21="","",IF(AND(J21="PASS",K21="PASS"),"是","否"))</x:f>
      </x:c>
    </x:row>
    <x:row r="22">
      <x:c r="A22" s="49"/>
      <x:c r="B22" s="49"/>
      <x:c r="C22" s="49"/>
      <x:c r="D22" s="49"/>
      <x:c r="E22" s="49"/>
      <x:c r="F22" s="49"/>
      <x:c r="G22" s="49"/>
      <x:c r="H22" s="49"/>
      <x:c r="I22" s="49"/>
      <x:c r="J22" s="49"/>
      <x:c r="K22" s="49" t="str">
        <x:f>IF(B22="","",IF(C22="seedance-2.0",IF(D22&lt;=15,"PASS","FAIL"),IF(C22="seedance-2.5",IF(AND(D22&lt;=30,OR(D22&gt;=20,E22&lt;&gt;"")),"PASS","FAIL"),"FAIL")))</x:f>
      </x:c>
      <x:c r="L22" s="49" t="str">
        <x:f>IF(B22="","",IF(AND(J22="PASS",K22="PASS"),"是","否"))</x:f>
      </x:c>
    </x:row>
    <x:row r="23">
      <x:c r="A23" s="49"/>
      <x:c r="B23" s="49"/>
      <x:c r="C23" s="49"/>
      <x:c r="D23" s="49"/>
      <x:c r="E23" s="49"/>
      <x:c r="F23" s="49"/>
      <x:c r="G23" s="49"/>
      <x:c r="H23" s="49"/>
      <x:c r="I23" s="49"/>
      <x:c r="J23" s="49"/>
      <x:c r="K23" s="49" t="str">
        <x:f>IF(B23="","",IF(C23="seedance-2.0",IF(D23&lt;=15,"PASS","FAIL"),IF(C23="seedance-2.5",IF(AND(D23&lt;=30,OR(D23&gt;=20,E23&lt;&gt;"")),"PASS","FAIL"),"FAIL")))</x:f>
      </x:c>
      <x:c r="L23" s="49" t="str">
        <x:f>IF(B23="","",IF(AND(J23="PASS",K23="PASS"),"是","否"))</x:f>
      </x:c>
    </x:row>
    <x:row r="24">
      <x:c r="A24" s="49"/>
      <x:c r="B24" s="49"/>
      <x:c r="C24" s="49"/>
      <x:c r="D24" s="49"/>
      <x:c r="E24" s="49"/>
      <x:c r="F24" s="49"/>
      <x:c r="G24" s="49"/>
      <x:c r="H24" s="49"/>
      <x:c r="I24" s="49"/>
      <x:c r="J24" s="49"/>
      <x:c r="K24" s="49" t="str">
        <x:f>IF(B24="","",IF(C24="seedance-2.0",IF(D24&lt;=15,"PASS","FAIL"),IF(C24="seedance-2.5",IF(AND(D24&lt;=30,OR(D24&gt;=20,E24&lt;&gt;"")),"PASS","FAIL"),"FAIL")))</x:f>
      </x:c>
      <x:c r="L24" s="49" t="str">
        <x:f>IF(B24="","",IF(AND(J24="PASS",K24="PASS"),"是","否"))</x:f>
      </x:c>
    </x:row>
    <x:row r="25">
      <x:c r="A25" s="49"/>
      <x:c r="B25" s="49"/>
      <x:c r="C25" s="49"/>
      <x:c r="D25" s="49"/>
      <x:c r="E25" s="49"/>
      <x:c r="F25" s="49"/>
      <x:c r="G25" s="49"/>
      <x:c r="H25" s="49"/>
      <x:c r="I25" s="49"/>
      <x:c r="J25" s="49"/>
      <x:c r="K25" s="49" t="str">
        <x:f>IF(B25="","",IF(C25="seedance-2.0",IF(D25&lt;=15,"PASS","FAIL"),IF(C25="seedance-2.5",IF(AND(D25&lt;=30,OR(D25&gt;=20,E25&lt;&gt;"")),"PASS","FAIL"),"FAIL")))</x:f>
      </x:c>
      <x:c r="L25" s="49" t="str">
        <x:f>IF(B25="","",IF(AND(J25="PASS",K25="PASS"),"是","否"))</x:f>
      </x:c>
    </x:row>
    <x:row r="26">
      <x:c r="A26" s="49"/>
      <x:c r="B26" s="49"/>
      <x:c r="C26" s="49"/>
      <x:c r="D26" s="49"/>
      <x:c r="E26" s="49"/>
      <x:c r="F26" s="49"/>
      <x:c r="G26" s="49"/>
      <x:c r="H26" s="49"/>
      <x:c r="I26" s="49"/>
      <x:c r="J26" s="49"/>
      <x:c r="K26" s="49" t="str">
        <x:f>IF(B26="","",IF(C26="seedance-2.0",IF(D26&lt;=15,"PASS","FAIL"),IF(C26="seedance-2.5",IF(AND(D26&lt;=30,OR(D26&gt;=20,E26&lt;&gt;"")),"PASS","FAIL"),"FAIL")))</x:f>
      </x:c>
      <x:c r="L26" s="49" t="str">
        <x:f>IF(B26="","",IF(AND(J26="PASS",K26="PASS"),"是","否"))</x:f>
      </x:c>
    </x:row>
    <x:row r="27">
      <x:c r="A27" s="49"/>
      <x:c r="B27" s="49"/>
      <x:c r="C27" s="49"/>
      <x:c r="D27" s="49"/>
      <x:c r="E27" s="49"/>
      <x:c r="F27" s="49"/>
      <x:c r="G27" s="49"/>
      <x:c r="H27" s="49"/>
      <x:c r="I27" s="49"/>
      <x:c r="J27" s="49"/>
      <x:c r="K27" s="49" t="str">
        <x:f>IF(B27="","",IF(C27="seedance-2.0",IF(D27&lt;=15,"PASS","FAIL"),IF(C27="seedance-2.5",IF(AND(D27&lt;=30,OR(D27&gt;=20,E27&lt;&gt;"")),"PASS","FAIL"),"FAIL")))</x:f>
      </x:c>
      <x:c r="L27" s="49" t="str">
        <x:f>IF(B27="","",IF(AND(J27="PASS",K27="PASS"),"是","否"))</x:f>
      </x:c>
    </x:row>
    <x:row r="28">
      <x:c r="A28" s="49"/>
      <x:c r="B28" s="49"/>
      <x:c r="C28" s="49"/>
      <x:c r="D28" s="49"/>
      <x:c r="E28" s="49"/>
      <x:c r="F28" s="49"/>
      <x:c r="G28" s="49"/>
      <x:c r="H28" s="49"/>
      <x:c r="I28" s="49"/>
      <x:c r="J28" s="49"/>
      <x:c r="K28" s="49" t="str">
        <x:f>IF(B28="","",IF(C28="seedance-2.0",IF(D28&lt;=15,"PASS","FAIL"),IF(C28="seedance-2.5",IF(AND(D28&lt;=30,OR(D28&gt;=20,E28&lt;&gt;"")),"PASS","FAIL"),"FAIL")))</x:f>
      </x:c>
      <x:c r="L28" s="49" t="str">
        <x:f>IF(B28="","",IF(AND(J28="PASS",K28="PASS"),"是","否"))</x:f>
      </x:c>
    </x:row>
    <x:row r="29">
      <x:c r="A29" s="49"/>
      <x:c r="B29" s="49"/>
      <x:c r="C29" s="49"/>
      <x:c r="D29" s="49"/>
      <x:c r="E29" s="49"/>
      <x:c r="F29" s="49"/>
      <x:c r="G29" s="49"/>
      <x:c r="H29" s="49"/>
      <x:c r="I29" s="49"/>
      <x:c r="J29" s="49"/>
      <x:c r="K29" s="49" t="str">
        <x:f>IF(B29="","",IF(C29="seedance-2.0",IF(D29&lt;=15,"PASS","FAIL"),IF(C29="seedance-2.5",IF(AND(D29&lt;=30,OR(D29&gt;=20,E29&lt;&gt;"")),"PASS","FAIL"),"FAIL")))</x:f>
      </x:c>
      <x:c r="L29" s="49" t="str">
        <x:f>IF(B29="","",IF(AND(J29="PASS",K29="PASS"),"是","否"))</x:f>
      </x:c>
    </x:row>
    <x:row r="30">
      <x:c r="A30" s="49"/>
      <x:c r="B30" s="49"/>
      <x:c r="C30" s="49"/>
      <x:c r="D30" s="49"/>
      <x:c r="E30" s="49"/>
      <x:c r="F30" s="49"/>
      <x:c r="G30" s="49"/>
      <x:c r="H30" s="49"/>
      <x:c r="I30" s="49"/>
      <x:c r="J30" s="49"/>
      <x:c r="K30" s="49" t="str">
        <x:f>IF(B30="","",IF(C30="seedance-2.0",IF(D30&lt;=15,"PASS","FAIL"),IF(C30="seedance-2.5",IF(AND(D30&lt;=30,OR(D30&gt;=20,E30&lt;&gt;"")),"PASS","FAIL"),"FAIL")))</x:f>
      </x:c>
      <x:c r="L30" s="49" t="str">
        <x:f>IF(B30="","",IF(AND(J30="PASS",K30="PASS"),"是","否"))</x:f>
      </x:c>
    </x:row>
    <x:row r="31">
      <x:c r="A31" s="49"/>
      <x:c r="B31" s="49"/>
      <x:c r="C31" s="49"/>
      <x:c r="D31" s="49"/>
      <x:c r="E31" s="49"/>
      <x:c r="F31" s="49"/>
      <x:c r="G31" s="49"/>
      <x:c r="H31" s="49"/>
      <x:c r="I31" s="49"/>
      <x:c r="J31" s="49"/>
      <x:c r="K31" s="49" t="str">
        <x:f>IF(B31="","",IF(C31="seedance-2.0",IF(D31&lt;=15,"PASS","FAIL"),IF(C31="seedance-2.5",IF(AND(D31&lt;=30,OR(D31&gt;=20,E31&lt;&gt;"")),"PASS","FAIL"),"FAIL")))</x:f>
      </x:c>
      <x:c r="L31" s="49" t="str">
        <x:f>IF(B31="","",IF(AND(J31="PASS",K31="PASS"),"是","否"))</x:f>
      </x:c>
    </x:row>
    <x:row r="32">
      <x:c r="A32" s="49"/>
      <x:c r="B32" s="49"/>
      <x:c r="C32" s="49"/>
      <x:c r="D32" s="49"/>
      <x:c r="E32" s="49"/>
      <x:c r="F32" s="49"/>
      <x:c r="G32" s="49"/>
      <x:c r="H32" s="49"/>
      <x:c r="I32" s="49"/>
      <x:c r="J32" s="49"/>
      <x:c r="K32" s="49" t="str">
        <x:f>IF(B32="","",IF(C32="seedance-2.0",IF(D32&lt;=15,"PASS","FAIL"),IF(C32="seedance-2.5",IF(AND(D32&lt;=30,OR(D32&gt;=20,E32&lt;&gt;"")),"PASS","FAIL"),"FAIL")))</x:f>
      </x:c>
      <x:c r="L32" s="49" t="str">
        <x:f>IF(B32="","",IF(AND(J32="PASS",K32="PASS"),"是","否"))</x:f>
      </x:c>
    </x:row>
    <x:row r="33">
      <x:c r="A33" s="49"/>
      <x:c r="B33" s="49"/>
      <x:c r="C33" s="49"/>
      <x:c r="D33" s="49"/>
      <x:c r="E33" s="49"/>
      <x:c r="F33" s="49"/>
      <x:c r="G33" s="49"/>
      <x:c r="H33" s="49"/>
      <x:c r="I33" s="49"/>
      <x:c r="J33" s="49"/>
      <x:c r="K33" s="49" t="str">
        <x:f>IF(B33="","",IF(C33="seedance-2.0",IF(D33&lt;=15,"PASS","FAIL"),IF(C33="seedance-2.5",IF(AND(D33&lt;=30,OR(D33&gt;=20,E33&lt;&gt;"")),"PASS","FAIL"),"FAIL")))</x:f>
      </x:c>
      <x:c r="L33" s="49" t="str">
        <x:f>IF(B33="","",IF(AND(J33="PASS",K33="PASS"),"是","否"))</x:f>
      </x:c>
    </x:row>
    <x:row r="34">
      <x:c r="A34" s="49"/>
      <x:c r="B34" s="49"/>
      <x:c r="C34" s="49"/>
      <x:c r="D34" s="49"/>
      <x:c r="E34" s="49"/>
      <x:c r="F34" s="49"/>
      <x:c r="G34" s="49"/>
      <x:c r="H34" s="49"/>
      <x:c r="I34" s="49"/>
      <x:c r="J34" s="49"/>
      <x:c r="K34" s="49" t="str">
        <x:f>IF(B34="","",IF(C34="seedance-2.0",IF(D34&lt;=15,"PASS","FAIL"),IF(C34="seedance-2.5",IF(AND(D34&lt;=30,OR(D34&gt;=20,E34&lt;&gt;"")),"PASS","FAIL"),"FAIL")))</x:f>
      </x:c>
      <x:c r="L34" s="49" t="str">
        <x:f>IF(B34="","",IF(AND(J34="PASS",K34="PASS"),"是","否"))</x:f>
      </x:c>
    </x:row>
    <x:row r="35">
      <x:c r="A35" s="49"/>
      <x:c r="B35" s="49"/>
      <x:c r="C35" s="49"/>
      <x:c r="D35" s="49"/>
      <x:c r="E35" s="49"/>
      <x:c r="F35" s="49"/>
      <x:c r="G35" s="49"/>
      <x:c r="H35" s="49"/>
      <x:c r="I35" s="49"/>
      <x:c r="J35" s="49"/>
      <x:c r="K35" s="49" t="str">
        <x:f>IF(B35="","",IF(C35="seedance-2.0",IF(D35&lt;=15,"PASS","FAIL"),IF(C35="seedance-2.5",IF(AND(D35&lt;=30,OR(D35&gt;=20,E35&lt;&gt;"")),"PASS","FAIL"),"FAIL")))</x:f>
      </x:c>
      <x:c r="L35" s="49" t="str">
        <x:f>IF(B35="","",IF(AND(J35="PASS",K35="PASS"),"是","否"))</x:f>
      </x:c>
    </x:row>
    <x:row r="36">
      <x:c r="A36" s="49"/>
      <x:c r="B36" s="49"/>
      <x:c r="C36" s="49"/>
      <x:c r="D36" s="49"/>
      <x:c r="E36" s="49"/>
      <x:c r="F36" s="49"/>
      <x:c r="G36" s="49"/>
      <x:c r="H36" s="49"/>
      <x:c r="I36" s="49"/>
      <x:c r="J36" s="49"/>
      <x:c r="K36" s="49" t="str">
        <x:f>IF(B36="","",IF(C36="seedance-2.0",IF(D36&lt;=15,"PASS","FAIL"),IF(C36="seedance-2.5",IF(AND(D36&lt;=30,OR(D36&gt;=20,E36&lt;&gt;"")),"PASS","FAIL"),"FAIL")))</x:f>
      </x:c>
      <x:c r="L36" s="49" t="str">
        <x:f>IF(B36="","",IF(AND(J36="PASS",K36="PASS"),"是","否"))</x:f>
      </x:c>
    </x:row>
    <x:row r="37">
      <x:c r="A37" s="49"/>
      <x:c r="B37" s="49"/>
      <x:c r="C37" s="49"/>
      <x:c r="D37" s="49"/>
      <x:c r="E37" s="49"/>
      <x:c r="F37" s="49"/>
      <x:c r="G37" s="49"/>
      <x:c r="H37" s="49"/>
      <x:c r="I37" s="49"/>
      <x:c r="J37" s="49"/>
      <x:c r="K37" s="49" t="str">
        <x:f>IF(B37="","",IF(C37="seedance-2.0",IF(D37&lt;=15,"PASS","FAIL"),IF(C37="seedance-2.5",IF(AND(D37&lt;=30,OR(D37&gt;=20,E37&lt;&gt;"")),"PASS","FAIL"),"FAIL")))</x:f>
      </x:c>
      <x:c r="L37" s="49" t="str">
        <x:f>IF(B37="","",IF(AND(J37="PASS",K37="PASS"),"是","否"))</x:f>
      </x:c>
    </x:row>
    <x:row r="38">
      <x:c r="A38" s="49"/>
      <x:c r="B38" s="49"/>
      <x:c r="C38" s="49"/>
      <x:c r="D38" s="49"/>
      <x:c r="E38" s="49"/>
      <x:c r="F38" s="49"/>
      <x:c r="G38" s="49"/>
      <x:c r="H38" s="49"/>
      <x:c r="I38" s="49"/>
      <x:c r="J38" s="49"/>
      <x:c r="K38" s="49" t="str">
        <x:f>IF(B38="","",IF(C38="seedance-2.0",IF(D38&lt;=15,"PASS","FAIL"),IF(C38="seedance-2.5",IF(AND(D38&lt;=30,OR(D38&gt;=20,E38&lt;&gt;"")),"PASS","FAIL"),"FAIL")))</x:f>
      </x:c>
      <x:c r="L38" s="49" t="str">
        <x:f>IF(B38="","",IF(AND(J38="PASS",K38="PASS"),"是","否"))</x:f>
      </x:c>
    </x:row>
    <x:row r="39">
      <x:c r="A39" s="49"/>
      <x:c r="B39" s="49"/>
      <x:c r="C39" s="49"/>
      <x:c r="D39" s="49"/>
      <x:c r="E39" s="49"/>
      <x:c r="F39" s="49"/>
      <x:c r="G39" s="49"/>
      <x:c r="H39" s="49"/>
      <x:c r="I39" s="49"/>
      <x:c r="J39" s="49"/>
      <x:c r="K39" s="49" t="str">
        <x:f>IF(B39="","",IF(C39="seedance-2.0",IF(D39&lt;=15,"PASS","FAIL"),IF(C39="seedance-2.5",IF(AND(D39&lt;=30,OR(D39&gt;=20,E39&lt;&gt;"")),"PASS","FAIL"),"FAIL")))</x:f>
      </x:c>
      <x:c r="L39" s="49" t="str">
        <x:f>IF(B39="","",IF(AND(J39="PASS",K39="PASS"),"是","否"))</x:f>
      </x:c>
    </x:row>
    <x:row r="40">
      <x:c r="A40" s="49"/>
      <x:c r="B40" s="49"/>
      <x:c r="C40" s="49"/>
      <x:c r="D40" s="49"/>
      <x:c r="E40" s="49"/>
      <x:c r="F40" s="49"/>
      <x:c r="G40" s="49"/>
      <x:c r="H40" s="49"/>
      <x:c r="I40" s="49"/>
      <x:c r="J40" s="49"/>
      <x:c r="K40" s="49" t="str">
        <x:f>IF(B40="","",IF(C40="seedance-2.0",IF(D40&lt;=15,"PASS","FAIL"),IF(C40="seedance-2.5",IF(AND(D40&lt;=30,OR(D40&gt;=20,E40&lt;&gt;"")),"PASS","FAIL"),"FAIL")))</x:f>
      </x:c>
      <x:c r="L40" s="49" t="str">
        <x:f>IF(B40="","",IF(AND(J40="PASS",K40="PASS"),"是","否"))</x:f>
      </x:c>
    </x:row>
    <x:row r="41">
      <x:c r="A41" s="49"/>
      <x:c r="B41" s="49"/>
      <x:c r="C41" s="49"/>
      <x:c r="D41" s="49"/>
      <x:c r="E41" s="49"/>
      <x:c r="F41" s="49"/>
      <x:c r="G41" s="49"/>
      <x:c r="H41" s="49"/>
      <x:c r="I41" s="49"/>
      <x:c r="J41" s="49"/>
      <x:c r="K41" s="49" t="str">
        <x:f>IF(B41="","",IF(C41="seedance-2.0",IF(D41&lt;=15,"PASS","FAIL"),IF(C41="seedance-2.5",IF(AND(D41&lt;=30,OR(D41&gt;=20,E41&lt;&gt;"")),"PASS","FAIL"),"FAIL")))</x:f>
      </x:c>
      <x:c r="L41" s="49" t="str">
        <x:f>IF(B41="","",IF(AND(J41="PASS",K41="PASS"),"是","否"))</x:f>
      </x:c>
    </x:row>
    <x:row r="42">
      <x:c r="A42" s="49"/>
      <x:c r="B42" s="49"/>
      <x:c r="C42" s="49"/>
      <x:c r="D42" s="49"/>
      <x:c r="E42" s="49"/>
      <x:c r="F42" s="49"/>
      <x:c r="G42" s="49"/>
      <x:c r="H42" s="49"/>
      <x:c r="I42" s="49"/>
      <x:c r="J42" s="49"/>
      <x:c r="K42" s="49" t="str">
        <x:f>IF(B42="","",IF(C42="seedance-2.0",IF(D42&lt;=15,"PASS","FAIL"),IF(C42="seedance-2.5",IF(AND(D42&lt;=30,OR(D42&gt;=20,E42&lt;&gt;"")),"PASS","FAIL"),"FAIL")))</x:f>
      </x:c>
      <x:c r="L42" s="49" t="str">
        <x:f>IF(B42="","",IF(AND(J42="PASS",K42="PASS"),"是","否"))</x:f>
      </x:c>
    </x:row>
    <x:row r="43">
      <x:c r="A43" s="49"/>
      <x:c r="B43" s="49"/>
      <x:c r="C43" s="49"/>
      <x:c r="D43" s="49"/>
      <x:c r="E43" s="49"/>
      <x:c r="F43" s="49"/>
      <x:c r="G43" s="49"/>
      <x:c r="H43" s="49"/>
      <x:c r="I43" s="49"/>
      <x:c r="J43" s="49"/>
      <x:c r="K43" s="49" t="str">
        <x:f>IF(B43="","",IF(C43="seedance-2.0",IF(D43&lt;=15,"PASS","FAIL"),IF(C43="seedance-2.5",IF(AND(D43&lt;=30,OR(D43&gt;=20,E43&lt;&gt;"")),"PASS","FAIL"),"FAIL")))</x:f>
      </x:c>
      <x:c r="L43" s="49" t="str">
        <x:f>IF(B43="","",IF(AND(J43="PASS",K43="PASS"),"是","否"))</x:f>
      </x:c>
    </x:row>
    <x:row r="44">
      <x:c r="A44" s="49"/>
      <x:c r="B44" s="49"/>
      <x:c r="C44" s="49"/>
      <x:c r="D44" s="49"/>
      <x:c r="E44" s="49"/>
      <x:c r="F44" s="49"/>
      <x:c r="G44" s="49"/>
      <x:c r="H44" s="49"/>
      <x:c r="I44" s="49"/>
      <x:c r="J44" s="49"/>
      <x:c r="K44" s="49" t="str">
        <x:f>IF(B44="","",IF(C44="seedance-2.0",IF(D44&lt;=15,"PASS","FAIL"),IF(C44="seedance-2.5",IF(AND(D44&lt;=30,OR(D44&gt;=20,E44&lt;&gt;"")),"PASS","FAIL"),"FAIL")))</x:f>
      </x:c>
      <x:c r="L44" s="49" t="str">
        <x:f>IF(B44="","",IF(AND(J44="PASS",K44="PASS"),"是","否"))</x:f>
      </x:c>
    </x:row>
    <x:row r="45">
      <x:c r="A45" s="49"/>
      <x:c r="B45" s="49"/>
      <x:c r="C45" s="49"/>
      <x:c r="D45" s="49"/>
      <x:c r="E45" s="49"/>
      <x:c r="F45" s="49"/>
      <x:c r="G45" s="49"/>
      <x:c r="H45" s="49"/>
      <x:c r="I45" s="49"/>
      <x:c r="J45" s="49"/>
      <x:c r="K45" s="49" t="str">
        <x:f>IF(B45="","",IF(C45="seedance-2.0",IF(D45&lt;=15,"PASS","FAIL"),IF(C45="seedance-2.5",IF(AND(D45&lt;=30,OR(D45&gt;=20,E45&lt;&gt;"")),"PASS","FAIL"),"FAIL")))</x:f>
      </x:c>
      <x:c r="L45" s="49" t="str">
        <x:f>IF(B45="","",IF(AND(J45="PASS",K45="PASS"),"是","否"))</x:f>
      </x:c>
    </x:row>
    <x:row r="46">
      <x:c r="A46" s="49"/>
      <x:c r="B46" s="49"/>
      <x:c r="C46" s="49"/>
      <x:c r="D46" s="49"/>
      <x:c r="E46" s="49"/>
      <x:c r="F46" s="49"/>
      <x:c r="G46" s="49"/>
      <x:c r="H46" s="49"/>
      <x:c r="I46" s="49"/>
      <x:c r="J46" s="49"/>
      <x:c r="K46" s="49" t="str">
        <x:f>IF(B46="","",IF(C46="seedance-2.0",IF(D46&lt;=15,"PASS","FAIL"),IF(C46="seedance-2.5",IF(AND(D46&lt;=30,OR(D46&gt;=20,E46&lt;&gt;"")),"PASS","FAIL"),"FAIL")))</x:f>
      </x:c>
      <x:c r="L46" s="49" t="str">
        <x:f>IF(B46="","",IF(AND(J46="PASS",K46="PASS"),"是","否"))</x:f>
      </x:c>
    </x:row>
    <x:row r="47">
      <x:c r="A47" s="49"/>
      <x:c r="B47" s="49"/>
      <x:c r="C47" s="49"/>
      <x:c r="D47" s="49"/>
      <x:c r="E47" s="49"/>
      <x:c r="F47" s="49"/>
      <x:c r="G47" s="49"/>
      <x:c r="H47" s="49"/>
      <x:c r="I47" s="49"/>
      <x:c r="J47" s="49"/>
      <x:c r="K47" s="49" t="str">
        <x:f>IF(B47="","",IF(C47="seedance-2.0",IF(D47&lt;=15,"PASS","FAIL"),IF(C47="seedance-2.5",IF(AND(D47&lt;=30,OR(D47&gt;=20,E47&lt;&gt;"")),"PASS","FAIL"),"FAIL")))</x:f>
      </x:c>
      <x:c r="L47" s="49" t="str">
        <x:f>IF(B47="","",IF(AND(J47="PASS",K47="PASS"),"是","否"))</x:f>
      </x:c>
    </x:row>
    <x:row r="48">
      <x:c r="A48" s="49"/>
      <x:c r="B48" s="49"/>
      <x:c r="C48" s="49"/>
      <x:c r="D48" s="49"/>
      <x:c r="E48" s="49"/>
      <x:c r="F48" s="49"/>
      <x:c r="G48" s="49"/>
      <x:c r="H48" s="49"/>
      <x:c r="I48" s="49"/>
      <x:c r="J48" s="49"/>
      <x:c r="K48" s="49" t="str">
        <x:f>IF(B48="","",IF(C48="seedance-2.0",IF(D48&lt;=15,"PASS","FAIL"),IF(C48="seedance-2.5",IF(AND(D48&lt;=30,OR(D48&gt;=20,E48&lt;&gt;"")),"PASS","FAIL"),"FAIL")))</x:f>
      </x:c>
      <x:c r="L48" s="49" t="str">
        <x:f>IF(B48="","",IF(AND(J48="PASS",K48="PASS"),"是","否"))</x:f>
      </x:c>
    </x:row>
    <x:row r="49">
      <x:c r="A49" s="49"/>
      <x:c r="B49" s="49"/>
      <x:c r="C49" s="49"/>
      <x:c r="D49" s="49"/>
      <x:c r="E49" s="49"/>
      <x:c r="F49" s="49"/>
      <x:c r="G49" s="49"/>
      <x:c r="H49" s="49"/>
      <x:c r="I49" s="49"/>
      <x:c r="J49" s="49"/>
      <x:c r="K49" s="49" t="str">
        <x:f>IF(B49="","",IF(C49="seedance-2.0",IF(D49&lt;=15,"PASS","FAIL"),IF(C49="seedance-2.5",IF(AND(D49&lt;=30,OR(D49&gt;=20,E49&lt;&gt;"")),"PASS","FAIL"),"FAIL")))</x:f>
      </x:c>
      <x:c r="L49" s="49" t="str">
        <x:f>IF(B49="","",IF(AND(J49="PASS",K49="PASS"),"是","否"))</x:f>
      </x:c>
    </x:row>
    <x:row r="50">
      <x:c r="A50" s="49"/>
      <x:c r="B50" s="49"/>
      <x:c r="C50" s="49"/>
      <x:c r="D50" s="49"/>
      <x:c r="E50" s="49"/>
      <x:c r="F50" s="49"/>
      <x:c r="G50" s="49"/>
      <x:c r="H50" s="49"/>
      <x:c r="I50" s="49"/>
      <x:c r="J50" s="49"/>
      <x:c r="K50" s="49" t="str">
        <x:f>IF(B50="","",IF(C50="seedance-2.0",IF(D50&lt;=15,"PASS","FAIL"),IF(C50="seedance-2.5",IF(AND(D50&lt;=30,OR(D50&gt;=20,E50&lt;&gt;"")),"PASS","FAIL"),"FAIL")))</x:f>
      </x:c>
      <x:c r="L50" s="49" t="str">
        <x:f>IF(B50="","",IF(AND(J50="PASS",K50="PASS"),"是","否"))</x:f>
      </x:c>
    </x:row>
    <x:row r="51">
      <x:c r="A51" s="49"/>
      <x:c r="B51" s="49"/>
      <x:c r="C51" s="49"/>
      <x:c r="D51" s="49"/>
      <x:c r="E51" s="49"/>
      <x:c r="F51" s="49"/>
      <x:c r="G51" s="49"/>
      <x:c r="H51" s="49"/>
      <x:c r="I51" s="49"/>
      <x:c r="J51" s="49"/>
      <x:c r="K51" s="49" t="str">
        <x:f>IF(B51="","",IF(C51="seedance-2.0",IF(D51&lt;=15,"PASS","FAIL"),IF(C51="seedance-2.5",IF(AND(D51&lt;=30,OR(D51&gt;=20,E51&lt;&gt;"")),"PASS","FAIL"),"FAIL")))</x:f>
      </x:c>
      <x:c r="L51" s="49" t="str">
        <x:f>IF(B51="","",IF(AND(J51="PASS",K51="PASS"),"是","否"))</x:f>
      </x:c>
    </x:row>
    <x:row r="52">
      <x:c r="A52" s="50"/>
      <x:c r="B52" s="50"/>
      <x:c r="C52" s="50"/>
      <x:c r="D52" s="50"/>
      <x:c r="E52" s="50"/>
      <x:c r="F52" s="50"/>
      <x:c r="G52" s="50"/>
      <x:c r="H52" s="50"/>
      <x:c r="I52" s="50"/>
      <x:c r="J52" s="50"/>
      <x:c r="K52" s="50" t="str">
        <x:f>IF(B52="","",IF(C52="seedance-2.0",IF(D52&lt;=15,"PASS","FAIL"),IF(C52="seedance-2.5",IF(AND(D52&lt;=30,OR(D52&gt;=20,E52&lt;&gt;"")),"PASS","FAIL"),"FAIL")))</x:f>
      </x:c>
      <x:c r="L52" s="50" t="str">
        <x:f>IF(B52="","",IF(AND(J52="PASS",K52="PASS"),"是","否"))</x:f>
      </x:c>
    </x:row>
  </x:sheetData>
  <x:mergeCells>
    <x:mergeCell ref="A1:L1"/>
  </x:mergeCells>
  <x:conditionalFormatting sqref="J3:K52">
    <x:cfRule type="containsText" dxfId="24" priority="1" operator="containsText" text="READY"/>
    <x:cfRule type="containsText" dxfId="25" priority="2" operator="containsText" text="PASS"/>
    <x:cfRule type="containsText" dxfId="26" priority="3" operator="containsText" text="PENDING"/>
    <x:cfRule type="containsText" dxfId="27" priority="4" operator="containsText" text="WARNING"/>
    <x:cfRule type="containsText" dxfId="28" priority="5" operator="containsText" text="FAIL"/>
    <x:cfRule type="containsText" dxfId="29" priority="6" operator="containsText" text="BLOCKED"/>
  </x:conditionalFormatting>
  <x:dataValidations count="2">
    <x:dataValidation type="list" sqref="C3:C52">
      <x:formula1>"seedance-2.0,seedance-2.5"</x:formula1>
    </x:dataValidation>
    <x:dataValidation type="list" sqref="J3:J52">
      <x:formula1>"PENDING,PASS,WARNING,FAIL"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8f034a4ac0c649f0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11" hidden="0" customWidth="1"/>
    <x:col min="3" max="3" width="11" hidden="0" customWidth="1"/>
    <x:col min="4" max="4" width="18" hidden="0" customWidth="1"/>
    <x:col min="5" max="5" width="25" hidden="0" customWidth="1"/>
    <x:col min="6" max="6" width="18" hidden="0" customWidth="1"/>
    <x:col min="7" max="7" width="18" hidden="0" customWidth="1"/>
    <x:col min="8" max="8" width="22" hidden="0" customWidth="1"/>
    <x:col min="9" max="9" width="18" hidden="0" customWidth="1"/>
    <x:col min="10" max="10" width="22" hidden="0" customWidth="1"/>
    <x:col min="11" max="11" width="22" hidden="0" customWidth="1"/>
    <x:col min="12" max="12" width="25" hidden="0" customWidth="1"/>
    <x:col min="13" max="13" width="22" hidden="0" customWidth="1"/>
    <x:col min="14" max="14" width="22" hidden="0" customWidth="1"/>
    <x:col min="15" max="15" width="12" hidden="0" customWidth="1"/>
    <x:col min="16" max="16" width="24" hidden="0" customWidth="1"/>
    <x:col min="17" max="17" width="22" hidden="0" customWidth="1"/>
  </x:cols>
  <x:sheetData>
    <x:row r="1" ht="30" customHeight="1">
      <x:c r="A1" s="44" t="str">
        <x:v>分集声音执行表｜粗剪后使用真实时间码</x:v>
      </x:c>
      <x:c r="B1" s="44"/>
      <x:c r="C1" s="44"/>
      <x:c r="D1" s="44"/>
      <x:c r="E1" s="44"/>
      <x:c r="F1" s="44"/>
      <x:c r="G1" s="44"/>
      <x:c r="H1" s="44"/>
      <x:c r="I1" s="44"/>
      <x:c r="J1" s="44"/>
      <x:c r="K1" s="44"/>
      <x:c r="L1" s="44"/>
      <x:c r="M1" s="44"/>
      <x:c r="N1" s="44"/>
      <x:c r="O1" s="44"/>
      <x:c r="P1" s="44"/>
      <x:c r="Q1" s="44"/>
    </x:row>
    <x:row r="2">
      <x:c r="A2" s="45" t="str">
        <x:v>集数</x:v>
      </x:c>
      <x:c r="B2" s="46" t="str">
        <x:v>开始秒</x:v>
      </x:c>
      <x:c r="C2" s="46" t="str">
        <x:v>结束秒</x:v>
      </x:c>
      <x:c r="D2" s="46" t="str">
        <x:v>分镜组/镜头</x:v>
      </x:c>
      <x:c r="E2" s="46" t="str">
        <x:v>剧情事件</x:v>
      </x:c>
      <x:c r="F2" s="46" t="str">
        <x:v>情绪目标</x:v>
      </x:c>
      <x:c r="G2" s="46" t="str">
        <x:v>声音类别</x:v>
      </x:c>
      <x:c r="H2" s="46" t="str">
        <x:v>BGM类型</x:v>
      </x:c>
      <x:c r="I2" s="46" t="str">
        <x:v>节奏/能量</x:v>
      </x:c>
      <x:c r="J2" s="46" t="str">
        <x:v>环境声</x:v>
      </x:c>
      <x:c r="K2" s="46" t="str">
        <x:v>动作声</x:v>
      </x:c>
      <x:c r="L2" s="46" t="str">
        <x:v>转场/剧情音效</x:v>
      </x:c>
      <x:c r="M2" s="46" t="str">
        <x:v>进入/退出</x:v>
      </x:c>
      <x:c r="N2" s="46" t="str">
        <x:v>对白避让</x:v>
      </x:c>
      <x:c r="O2" s="46" t="str">
        <x:v>静默</x:v>
      </x:c>
      <x:c r="P2" s="46" t="str">
        <x:v>素材/状态</x:v>
      </x:c>
      <x:c r="Q2" s="47" t="str">
        <x:v>来源/授权</x:v>
      </x:c>
    </x:row>
    <x:row r="3">
      <x:c r="A3" s="48" t="n">
        <x:v>1</x:v>
      </x:c>
      <x:c r="B3" s="48" t="n">
        <x:v>0</x:v>
      </x:c>
      <x:c r="C3" s="48" t="n">
        <x:v>15</x:v>
      </x:c>
      <x:c r="D3" s="48" t="str">
        <x:v>EP001-SG01</x:v>
      </x:c>
      <x:c r="E3" s="48" t="str">
        <x:v>教室对峙</x:v>
      </x:c>
      <x:c r="F3" s="48" t="str">
        <x:v>克制紧张</x:v>
      </x:c>
      <x:c r="G3" s="48" t="str">
        <x:v>AMBIENCE+BGM</x:v>
      </x:c>
      <x:c r="H3" s="48" t="str">
        <x:v>低频悬疑铺底</x:v>
      </x:c>
      <x:c r="I3" s="48" t="str">
        <x:v>缓慢/2</x:v>
      </x:c>
      <x:c r="J3" s="48" t="str">
        <x:v>教室远处人声与风扇</x:v>
      </x:c>
      <x:c r="K3" s="48" t="str">
        <x:v>脚步、衣料</x:v>
      </x:c>
      <x:c r="L3" s="48" t="str">
        <x:v>末尾短促提示音</x:v>
      </x:c>
      <x:c r="M3" s="48" t="str">
        <x:v>0秒淡入/15秒淡出</x:v>
      </x:c>
      <x:c r="N3" s="48" t="str">
        <x:v>对白期间降低音乐</x:v>
      </x:c>
      <x:c r="O3" s="48" t="str">
        <x:v>否</x:v>
      </x:c>
      <x:c r="P3" s="48" t="str">
        <x:v>PENDING</x:v>
      </x:c>
      <x:c r="Q3" s="48" t="str">
        <x:v>待确认</x:v>
      </x:c>
    </x:row>
    <x:row r="4">
      <x:c r="A4" s="49"/>
      <x:c r="B4" s="49"/>
      <x:c r="C4" s="49"/>
      <x:c r="D4" s="49"/>
      <x:c r="E4" s="49"/>
      <x:c r="F4" s="49"/>
      <x:c r="G4" s="49"/>
      <x:c r="H4" s="49"/>
      <x:c r="I4" s="49"/>
      <x:c r="J4" s="49"/>
      <x:c r="K4" s="49"/>
      <x:c r="L4" s="49"/>
      <x:c r="M4" s="49"/>
      <x:c r="N4" s="49"/>
      <x:c r="O4" s="49"/>
      <x:c r="P4" s="49"/>
      <x:c r="Q4" s="49"/>
    </x:row>
    <x:row r="5">
      <x:c r="A5" s="49"/>
      <x:c r="B5" s="49"/>
      <x:c r="C5" s="49"/>
      <x:c r="D5" s="49"/>
      <x:c r="E5" s="49"/>
      <x:c r="F5" s="49"/>
      <x:c r="G5" s="49"/>
      <x:c r="H5" s="49"/>
      <x:c r="I5" s="49"/>
      <x:c r="J5" s="49"/>
      <x:c r="K5" s="49"/>
      <x:c r="L5" s="49"/>
      <x:c r="M5" s="49"/>
      <x:c r="N5" s="49"/>
      <x:c r="O5" s="49"/>
      <x:c r="P5" s="49"/>
      <x:c r="Q5" s="49"/>
    </x:row>
    <x:row r="6">
      <x:c r="A6" s="49"/>
      <x:c r="B6" s="49"/>
      <x:c r="C6" s="49"/>
      <x:c r="D6" s="49"/>
      <x:c r="E6" s="49"/>
      <x:c r="F6" s="49"/>
      <x:c r="G6" s="49"/>
      <x:c r="H6" s="49"/>
      <x:c r="I6" s="49"/>
      <x:c r="J6" s="49"/>
      <x:c r="K6" s="49"/>
      <x:c r="L6" s="49"/>
      <x:c r="M6" s="49"/>
      <x:c r="N6" s="49"/>
      <x:c r="O6" s="49"/>
      <x:c r="P6" s="49"/>
      <x:c r="Q6" s="49"/>
    </x:row>
    <x:row r="7">
      <x:c r="A7" s="49"/>
      <x:c r="B7" s="49"/>
      <x:c r="C7" s="49"/>
      <x:c r="D7" s="49"/>
      <x:c r="E7" s="49"/>
      <x:c r="F7" s="49"/>
      <x:c r="G7" s="49"/>
      <x:c r="H7" s="49"/>
      <x:c r="I7" s="49"/>
      <x:c r="J7" s="49"/>
      <x:c r="K7" s="49"/>
      <x:c r="L7" s="49"/>
      <x:c r="M7" s="49"/>
      <x:c r="N7" s="49"/>
      <x:c r="O7" s="49"/>
      <x:c r="P7" s="49"/>
      <x:c r="Q7" s="49"/>
    </x:row>
    <x:row r="8">
      <x:c r="A8" s="49"/>
      <x:c r="B8" s="49"/>
      <x:c r="C8" s="49"/>
      <x:c r="D8" s="49"/>
      <x:c r="E8" s="49"/>
      <x:c r="F8" s="49"/>
      <x:c r="G8" s="49"/>
      <x:c r="H8" s="49"/>
      <x:c r="I8" s="49"/>
      <x:c r="J8" s="49"/>
      <x:c r="K8" s="49"/>
      <x:c r="L8" s="49"/>
      <x:c r="M8" s="49"/>
      <x:c r="N8" s="49"/>
      <x:c r="O8" s="49"/>
      <x:c r="P8" s="49"/>
      <x:c r="Q8" s="49"/>
    </x:row>
    <x:row r="9">
      <x:c r="A9" s="49"/>
      <x:c r="B9" s="49"/>
      <x:c r="C9" s="49"/>
      <x:c r="D9" s="49"/>
      <x:c r="E9" s="49"/>
      <x:c r="F9" s="49"/>
      <x:c r="G9" s="49"/>
      <x:c r="H9" s="49"/>
      <x:c r="I9" s="49"/>
      <x:c r="J9" s="49"/>
      <x:c r="K9" s="49"/>
      <x:c r="L9" s="49"/>
      <x:c r="M9" s="49"/>
      <x:c r="N9" s="49"/>
      <x:c r="O9" s="49"/>
      <x:c r="P9" s="49"/>
      <x:c r="Q9" s="49"/>
    </x:row>
    <x:row r="10">
      <x:c r="A10" s="49"/>
      <x:c r="B10" s="49"/>
      <x:c r="C10" s="49"/>
      <x:c r="D10" s="49"/>
      <x:c r="E10" s="49"/>
      <x:c r="F10" s="49"/>
      <x:c r="G10" s="49"/>
      <x:c r="H10" s="49"/>
      <x:c r="I10" s="49"/>
      <x:c r="J10" s="49"/>
      <x:c r="K10" s="49"/>
      <x:c r="L10" s="49"/>
      <x:c r="M10" s="49"/>
      <x:c r="N10" s="49"/>
      <x:c r="O10" s="49"/>
      <x:c r="P10" s="49"/>
      <x:c r="Q10" s="49"/>
    </x:row>
    <x:row r="11">
      <x:c r="A11" s="49"/>
      <x:c r="B11" s="49"/>
      <x:c r="C11" s="49"/>
      <x:c r="D11" s="49"/>
      <x:c r="E11" s="49"/>
      <x:c r="F11" s="49"/>
      <x:c r="G11" s="49"/>
      <x:c r="H11" s="49"/>
      <x:c r="I11" s="49"/>
      <x:c r="J11" s="49"/>
      <x:c r="K11" s="49"/>
      <x:c r="L11" s="49"/>
      <x:c r="M11" s="49"/>
      <x:c r="N11" s="49"/>
      <x:c r="O11" s="49"/>
      <x:c r="P11" s="49"/>
      <x:c r="Q11" s="49"/>
    </x:row>
    <x:row r="12">
      <x:c r="A12" s="49"/>
      <x:c r="B12" s="49"/>
      <x:c r="C12" s="49"/>
      <x:c r="D12" s="49"/>
      <x:c r="E12" s="49"/>
      <x:c r="F12" s="49"/>
      <x:c r="G12" s="49"/>
      <x:c r="H12" s="49"/>
      <x:c r="I12" s="49"/>
      <x:c r="J12" s="49"/>
      <x:c r="K12" s="49"/>
      <x:c r="L12" s="49"/>
      <x:c r="M12" s="49"/>
      <x:c r="N12" s="49"/>
      <x:c r="O12" s="49"/>
      <x:c r="P12" s="49"/>
      <x:c r="Q12" s="49"/>
    </x:row>
    <x:row r="13">
      <x:c r="A13" s="49"/>
      <x:c r="B13" s="49"/>
      <x:c r="C13" s="49"/>
      <x:c r="D13" s="49"/>
      <x:c r="E13" s="49"/>
      <x:c r="F13" s="49"/>
      <x:c r="G13" s="49"/>
      <x:c r="H13" s="49"/>
      <x:c r="I13" s="49"/>
      <x:c r="J13" s="49"/>
      <x:c r="K13" s="49"/>
      <x:c r="L13" s="49"/>
      <x:c r="M13" s="49"/>
      <x:c r="N13" s="49"/>
      <x:c r="O13" s="49"/>
      <x:c r="P13" s="49"/>
      <x:c r="Q13" s="49"/>
    </x:row>
    <x:row r="14">
      <x:c r="A14" s="49"/>
      <x:c r="B14" s="49"/>
      <x:c r="C14" s="49"/>
      <x:c r="D14" s="49"/>
      <x:c r="E14" s="49"/>
      <x:c r="F14" s="49"/>
      <x:c r="G14" s="49"/>
      <x:c r="H14" s="49"/>
      <x:c r="I14" s="49"/>
      <x:c r="J14" s="49"/>
      <x:c r="K14" s="49"/>
      <x:c r="L14" s="49"/>
      <x:c r="M14" s="49"/>
      <x:c r="N14" s="49"/>
      <x:c r="O14" s="49"/>
      <x:c r="P14" s="49"/>
      <x:c r="Q14" s="49"/>
    </x:row>
    <x:row r="15">
      <x:c r="A15" s="49"/>
      <x:c r="B15" s="49"/>
      <x:c r="C15" s="49"/>
      <x:c r="D15" s="49"/>
      <x:c r="E15" s="49"/>
      <x:c r="F15" s="49"/>
      <x:c r="G15" s="49"/>
      <x:c r="H15" s="49"/>
      <x:c r="I15" s="49"/>
      <x:c r="J15" s="49"/>
      <x:c r="K15" s="49"/>
      <x:c r="L15" s="49"/>
      <x:c r="M15" s="49"/>
      <x:c r="N15" s="49"/>
      <x:c r="O15" s="49"/>
      <x:c r="P15" s="49"/>
      <x:c r="Q15" s="49"/>
    </x:row>
    <x:row r="16">
      <x:c r="A16" s="49"/>
      <x:c r="B16" s="49"/>
      <x:c r="C16" s="49"/>
      <x:c r="D16" s="49"/>
      <x:c r="E16" s="49"/>
      <x:c r="F16" s="49"/>
      <x:c r="G16" s="49"/>
      <x:c r="H16" s="49"/>
      <x:c r="I16" s="49"/>
      <x:c r="J16" s="49"/>
      <x:c r="K16" s="49"/>
      <x:c r="L16" s="49"/>
      <x:c r="M16" s="49"/>
      <x:c r="N16" s="49"/>
      <x:c r="O16" s="49"/>
      <x:c r="P16" s="49"/>
      <x:c r="Q16" s="49"/>
    </x:row>
    <x:row r="17">
      <x:c r="A17" s="49"/>
      <x:c r="B17" s="49"/>
      <x:c r="C17" s="49"/>
      <x:c r="D17" s="49"/>
      <x:c r="E17" s="49"/>
      <x:c r="F17" s="49"/>
      <x:c r="G17" s="49"/>
      <x:c r="H17" s="49"/>
      <x:c r="I17" s="49"/>
      <x:c r="J17" s="49"/>
      <x:c r="K17" s="49"/>
      <x:c r="L17" s="49"/>
      <x:c r="M17" s="49"/>
      <x:c r="N17" s="49"/>
      <x:c r="O17" s="49"/>
      <x:c r="P17" s="49"/>
      <x:c r="Q17" s="49"/>
    </x:row>
    <x:row r="18">
      <x:c r="A18" s="49"/>
      <x:c r="B18" s="49"/>
      <x:c r="C18" s="49"/>
      <x:c r="D18" s="49"/>
      <x:c r="E18" s="49"/>
      <x:c r="F18" s="49"/>
      <x:c r="G18" s="49"/>
      <x:c r="H18" s="49"/>
      <x:c r="I18" s="49"/>
      <x:c r="J18" s="49"/>
      <x:c r="K18" s="49"/>
      <x:c r="L18" s="49"/>
      <x:c r="M18" s="49"/>
      <x:c r="N18" s="49"/>
      <x:c r="O18" s="49"/>
      <x:c r="P18" s="49"/>
      <x:c r="Q18" s="49"/>
    </x:row>
    <x:row r="19">
      <x:c r="A19" s="49"/>
      <x:c r="B19" s="49"/>
      <x:c r="C19" s="49"/>
      <x:c r="D19" s="49"/>
      <x:c r="E19" s="49"/>
      <x:c r="F19" s="49"/>
      <x:c r="G19" s="49"/>
      <x:c r="H19" s="49"/>
      <x:c r="I19" s="49"/>
      <x:c r="J19" s="49"/>
      <x:c r="K19" s="49"/>
      <x:c r="L19" s="49"/>
      <x:c r="M19" s="49"/>
      <x:c r="N19" s="49"/>
      <x:c r="O19" s="49"/>
      <x:c r="P19" s="49"/>
      <x:c r="Q19" s="49"/>
    </x:row>
    <x:row r="20">
      <x:c r="A20" s="49"/>
      <x:c r="B20" s="49"/>
      <x:c r="C20" s="49"/>
      <x:c r="D20" s="49"/>
      <x:c r="E20" s="49"/>
      <x:c r="F20" s="49"/>
      <x:c r="G20" s="49"/>
      <x:c r="H20" s="49"/>
      <x:c r="I20" s="49"/>
      <x:c r="J20" s="49"/>
      <x:c r="K20" s="49"/>
      <x:c r="L20" s="49"/>
      <x:c r="M20" s="49"/>
      <x:c r="N20" s="49"/>
      <x:c r="O20" s="49"/>
      <x:c r="P20" s="49"/>
      <x:c r="Q20" s="49"/>
    </x:row>
    <x:row r="21">
      <x:c r="A21" s="49"/>
      <x:c r="B21" s="49"/>
      <x:c r="C21" s="49"/>
      <x:c r="D21" s="49"/>
      <x:c r="E21" s="49"/>
      <x:c r="F21" s="49"/>
      <x:c r="G21" s="49"/>
      <x:c r="H21" s="49"/>
      <x:c r="I21" s="49"/>
      <x:c r="J21" s="49"/>
      <x:c r="K21" s="49"/>
      <x:c r="L21" s="49"/>
      <x:c r="M21" s="49"/>
      <x:c r="N21" s="49"/>
      <x:c r="O21" s="49"/>
      <x:c r="P21" s="49"/>
      <x:c r="Q21" s="49"/>
    </x:row>
    <x:row r="22">
      <x:c r="A22" s="49"/>
      <x:c r="B22" s="49"/>
      <x:c r="C22" s="49"/>
      <x:c r="D22" s="49"/>
      <x:c r="E22" s="49"/>
      <x:c r="F22" s="49"/>
      <x:c r="G22" s="49"/>
      <x:c r="H22" s="49"/>
      <x:c r="I22" s="49"/>
      <x:c r="J22" s="49"/>
      <x:c r="K22" s="49"/>
      <x:c r="L22" s="49"/>
      <x:c r="M22" s="49"/>
      <x:c r="N22" s="49"/>
      <x:c r="O22" s="49"/>
      <x:c r="P22" s="49"/>
      <x:c r="Q22" s="49"/>
    </x:row>
    <x:row r="23">
      <x:c r="A23" s="49"/>
      <x:c r="B23" s="49"/>
      <x:c r="C23" s="49"/>
      <x:c r="D23" s="49"/>
      <x:c r="E23" s="49"/>
      <x:c r="F23" s="49"/>
      <x:c r="G23" s="49"/>
      <x:c r="H23" s="49"/>
      <x:c r="I23" s="49"/>
      <x:c r="J23" s="49"/>
      <x:c r="K23" s="49"/>
      <x:c r="L23" s="49"/>
      <x:c r="M23" s="49"/>
      <x:c r="N23" s="49"/>
      <x:c r="O23" s="49"/>
      <x:c r="P23" s="49"/>
      <x:c r="Q23" s="49"/>
    </x:row>
    <x:row r="24">
      <x:c r="A24" s="49"/>
      <x:c r="B24" s="49"/>
      <x:c r="C24" s="49"/>
      <x:c r="D24" s="49"/>
      <x:c r="E24" s="49"/>
      <x:c r="F24" s="49"/>
      <x:c r="G24" s="49"/>
      <x:c r="H24" s="49"/>
      <x:c r="I24" s="49"/>
      <x:c r="J24" s="49"/>
      <x:c r="K24" s="49"/>
      <x:c r="L24" s="49"/>
      <x:c r="M24" s="49"/>
      <x:c r="N24" s="49"/>
      <x:c r="O24" s="49"/>
      <x:c r="P24" s="49"/>
      <x:c r="Q24" s="49"/>
    </x:row>
    <x:row r="25">
      <x:c r="A25" s="49"/>
      <x:c r="B25" s="49"/>
      <x:c r="C25" s="49"/>
      <x:c r="D25" s="49"/>
      <x:c r="E25" s="49"/>
      <x:c r="F25" s="49"/>
      <x:c r="G25" s="49"/>
      <x:c r="H25" s="49"/>
      <x:c r="I25" s="49"/>
      <x:c r="J25" s="49"/>
      <x:c r="K25" s="49"/>
      <x:c r="L25" s="49"/>
      <x:c r="M25" s="49"/>
      <x:c r="N25" s="49"/>
      <x:c r="O25" s="49"/>
      <x:c r="P25" s="49"/>
      <x:c r="Q25" s="49"/>
    </x:row>
    <x:row r="26">
      <x:c r="A26" s="49"/>
      <x:c r="B26" s="49"/>
      <x:c r="C26" s="49"/>
      <x:c r="D26" s="49"/>
      <x:c r="E26" s="49"/>
      <x:c r="F26" s="49"/>
      <x:c r="G26" s="49"/>
      <x:c r="H26" s="49"/>
      <x:c r="I26" s="49"/>
      <x:c r="J26" s="49"/>
      <x:c r="K26" s="49"/>
      <x:c r="L26" s="49"/>
      <x:c r="M26" s="49"/>
      <x:c r="N26" s="49"/>
      <x:c r="O26" s="49"/>
      <x:c r="P26" s="49"/>
      <x:c r="Q26" s="49"/>
    </x:row>
    <x:row r="27">
      <x:c r="A27" s="49"/>
      <x:c r="B27" s="49"/>
      <x:c r="C27" s="49"/>
      <x:c r="D27" s="49"/>
      <x:c r="E27" s="49"/>
      <x:c r="F27" s="49"/>
      <x:c r="G27" s="49"/>
      <x:c r="H27" s="49"/>
      <x:c r="I27" s="49"/>
      <x:c r="J27" s="49"/>
      <x:c r="K27" s="49"/>
      <x:c r="L27" s="49"/>
      <x:c r="M27" s="49"/>
      <x:c r="N27" s="49"/>
      <x:c r="O27" s="49"/>
      <x:c r="P27" s="49"/>
      <x:c r="Q27" s="49"/>
    </x:row>
    <x:row r="28">
      <x:c r="A28" s="49"/>
      <x:c r="B28" s="49"/>
      <x:c r="C28" s="49"/>
      <x:c r="D28" s="49"/>
      <x:c r="E28" s="49"/>
      <x:c r="F28" s="49"/>
      <x:c r="G28" s="49"/>
      <x:c r="H28" s="49"/>
      <x:c r="I28" s="49"/>
      <x:c r="J28" s="49"/>
      <x:c r="K28" s="49"/>
      <x:c r="L28" s="49"/>
      <x:c r="M28" s="49"/>
      <x:c r="N28" s="49"/>
      <x:c r="O28" s="49"/>
      <x:c r="P28" s="49"/>
      <x:c r="Q28" s="49"/>
    </x:row>
    <x:row r="29">
      <x:c r="A29" s="49"/>
      <x:c r="B29" s="49"/>
      <x:c r="C29" s="49"/>
      <x:c r="D29" s="49"/>
      <x:c r="E29" s="49"/>
      <x:c r="F29" s="49"/>
      <x:c r="G29" s="49"/>
      <x:c r="H29" s="49"/>
      <x:c r="I29" s="49"/>
      <x:c r="J29" s="49"/>
      <x:c r="K29" s="49"/>
      <x:c r="L29" s="49"/>
      <x:c r="M29" s="49"/>
      <x:c r="N29" s="49"/>
      <x:c r="O29" s="49"/>
      <x:c r="P29" s="49"/>
      <x:c r="Q29" s="49"/>
    </x:row>
    <x:row r="30">
      <x:c r="A30" s="49"/>
      <x:c r="B30" s="49"/>
      <x:c r="C30" s="49"/>
      <x:c r="D30" s="49"/>
      <x:c r="E30" s="49"/>
      <x:c r="F30" s="49"/>
      <x:c r="G30" s="49"/>
      <x:c r="H30" s="49"/>
      <x:c r="I30" s="49"/>
      <x:c r="J30" s="49"/>
      <x:c r="K30" s="49"/>
      <x:c r="L30" s="49"/>
      <x:c r="M30" s="49"/>
      <x:c r="N30" s="49"/>
      <x:c r="O30" s="49"/>
      <x:c r="P30" s="49"/>
      <x:c r="Q30" s="49"/>
    </x:row>
    <x:row r="31">
      <x:c r="A31" s="49"/>
      <x:c r="B31" s="49"/>
      <x:c r="C31" s="49"/>
      <x:c r="D31" s="49"/>
      <x:c r="E31" s="49"/>
      <x:c r="F31" s="49"/>
      <x:c r="G31" s="49"/>
      <x:c r="H31" s="49"/>
      <x:c r="I31" s="49"/>
      <x:c r="J31" s="49"/>
      <x:c r="K31" s="49"/>
      <x:c r="L31" s="49"/>
      <x:c r="M31" s="49"/>
      <x:c r="N31" s="49"/>
      <x:c r="O31" s="49"/>
      <x:c r="P31" s="49"/>
      <x:c r="Q31" s="49"/>
    </x:row>
    <x:row r="32">
      <x:c r="A32" s="49"/>
      <x:c r="B32" s="49"/>
      <x:c r="C32" s="49"/>
      <x:c r="D32" s="49"/>
      <x:c r="E32" s="49"/>
      <x:c r="F32" s="49"/>
      <x:c r="G32" s="49"/>
      <x:c r="H32" s="49"/>
      <x:c r="I32" s="49"/>
      <x:c r="J32" s="49"/>
      <x:c r="K32" s="49"/>
      <x:c r="L32" s="49"/>
      <x:c r="M32" s="49"/>
      <x:c r="N32" s="49"/>
      <x:c r="O32" s="49"/>
      <x:c r="P32" s="49"/>
      <x:c r="Q32" s="49"/>
    </x:row>
    <x:row r="33">
      <x:c r="A33" s="49"/>
      <x:c r="B33" s="49"/>
      <x:c r="C33" s="49"/>
      <x:c r="D33" s="49"/>
      <x:c r="E33" s="49"/>
      <x:c r="F33" s="49"/>
      <x:c r="G33" s="49"/>
      <x:c r="H33" s="49"/>
      <x:c r="I33" s="49"/>
      <x:c r="J33" s="49"/>
      <x:c r="K33" s="49"/>
      <x:c r="L33" s="49"/>
      <x:c r="M33" s="49"/>
      <x:c r="N33" s="49"/>
      <x:c r="O33" s="49"/>
      <x:c r="P33" s="49"/>
      <x:c r="Q33" s="49"/>
    </x:row>
    <x:row r="34">
      <x:c r="A34" s="49"/>
      <x:c r="B34" s="49"/>
      <x:c r="C34" s="49"/>
      <x:c r="D34" s="49"/>
      <x:c r="E34" s="49"/>
      <x:c r="F34" s="49"/>
      <x:c r="G34" s="49"/>
      <x:c r="H34" s="49"/>
      <x:c r="I34" s="49"/>
      <x:c r="J34" s="49"/>
      <x:c r="K34" s="49"/>
      <x:c r="L34" s="49"/>
      <x:c r="M34" s="49"/>
      <x:c r="N34" s="49"/>
      <x:c r="O34" s="49"/>
      <x:c r="P34" s="49"/>
      <x:c r="Q34" s="49"/>
    </x:row>
    <x:row r="35">
      <x:c r="A35" s="49"/>
      <x:c r="B35" s="49"/>
      <x:c r="C35" s="49"/>
      <x:c r="D35" s="49"/>
      <x:c r="E35" s="49"/>
      <x:c r="F35" s="49"/>
      <x:c r="G35" s="49"/>
      <x:c r="H35" s="49"/>
      <x:c r="I35" s="49"/>
      <x:c r="J35" s="49"/>
      <x:c r="K35" s="49"/>
      <x:c r="L35" s="49"/>
      <x:c r="M35" s="49"/>
      <x:c r="N35" s="49"/>
      <x:c r="O35" s="49"/>
      <x:c r="P35" s="49"/>
      <x:c r="Q35" s="49"/>
    </x:row>
    <x:row r="36">
      <x:c r="A36" s="49"/>
      <x:c r="B36" s="49"/>
      <x:c r="C36" s="49"/>
      <x:c r="D36" s="49"/>
      <x:c r="E36" s="49"/>
      <x:c r="F36" s="49"/>
      <x:c r="G36" s="49"/>
      <x:c r="H36" s="49"/>
      <x:c r="I36" s="49"/>
      <x:c r="J36" s="49"/>
      <x:c r="K36" s="49"/>
      <x:c r="L36" s="49"/>
      <x:c r="M36" s="49"/>
      <x:c r="N36" s="49"/>
      <x:c r="O36" s="49"/>
      <x:c r="P36" s="49"/>
      <x:c r="Q36" s="49"/>
    </x:row>
    <x:row r="37">
      <x:c r="A37" s="49"/>
      <x:c r="B37" s="49"/>
      <x:c r="C37" s="49"/>
      <x:c r="D37" s="49"/>
      <x:c r="E37" s="49"/>
      <x:c r="F37" s="49"/>
      <x:c r="G37" s="49"/>
      <x:c r="H37" s="49"/>
      <x:c r="I37" s="49"/>
      <x:c r="J37" s="49"/>
      <x:c r="K37" s="49"/>
      <x:c r="L37" s="49"/>
      <x:c r="M37" s="49"/>
      <x:c r="N37" s="49"/>
      <x:c r="O37" s="49"/>
      <x:c r="P37" s="49"/>
      <x:c r="Q37" s="49"/>
    </x:row>
    <x:row r="38">
      <x:c r="A38" s="49"/>
      <x:c r="B38" s="49"/>
      <x:c r="C38" s="49"/>
      <x:c r="D38" s="49"/>
      <x:c r="E38" s="49"/>
      <x:c r="F38" s="49"/>
      <x:c r="G38" s="49"/>
      <x:c r="H38" s="49"/>
      <x:c r="I38" s="49"/>
      <x:c r="J38" s="49"/>
      <x:c r="K38" s="49"/>
      <x:c r="L38" s="49"/>
      <x:c r="M38" s="49"/>
      <x:c r="N38" s="49"/>
      <x:c r="O38" s="49"/>
      <x:c r="P38" s="49"/>
      <x:c r="Q38" s="49"/>
    </x:row>
    <x:row r="39">
      <x:c r="A39" s="49"/>
      <x:c r="B39" s="49"/>
      <x:c r="C39" s="49"/>
      <x:c r="D39" s="49"/>
      <x:c r="E39" s="49"/>
      <x:c r="F39" s="49"/>
      <x:c r="G39" s="49"/>
      <x:c r="H39" s="49"/>
      <x:c r="I39" s="49"/>
      <x:c r="J39" s="49"/>
      <x:c r="K39" s="49"/>
      <x:c r="L39" s="49"/>
      <x:c r="M39" s="49"/>
      <x:c r="N39" s="49"/>
      <x:c r="O39" s="49"/>
      <x:c r="P39" s="49"/>
      <x:c r="Q39" s="49"/>
    </x:row>
    <x:row r="40">
      <x:c r="A40" s="49"/>
      <x:c r="B40" s="49"/>
      <x:c r="C40" s="49"/>
      <x:c r="D40" s="49"/>
      <x:c r="E40" s="49"/>
      <x:c r="F40" s="49"/>
      <x:c r="G40" s="49"/>
      <x:c r="H40" s="49"/>
      <x:c r="I40" s="49"/>
      <x:c r="J40" s="49"/>
      <x:c r="K40" s="49"/>
      <x:c r="L40" s="49"/>
      <x:c r="M40" s="49"/>
      <x:c r="N40" s="49"/>
      <x:c r="O40" s="49"/>
      <x:c r="P40" s="49"/>
      <x:c r="Q40" s="49"/>
    </x:row>
    <x:row r="41">
      <x:c r="A41" s="49"/>
      <x:c r="B41" s="49"/>
      <x:c r="C41" s="49"/>
      <x:c r="D41" s="49"/>
      <x:c r="E41" s="49"/>
      <x:c r="F41" s="49"/>
      <x:c r="G41" s="49"/>
      <x:c r="H41" s="49"/>
      <x:c r="I41" s="49"/>
      <x:c r="J41" s="49"/>
      <x:c r="K41" s="49"/>
      <x:c r="L41" s="49"/>
      <x:c r="M41" s="49"/>
      <x:c r="N41" s="49"/>
      <x:c r="O41" s="49"/>
      <x:c r="P41" s="49"/>
      <x:c r="Q41" s="49"/>
    </x:row>
    <x:row r="42">
      <x:c r="A42" s="49"/>
      <x:c r="B42" s="49"/>
      <x:c r="C42" s="49"/>
      <x:c r="D42" s="49"/>
      <x:c r="E42" s="49"/>
      <x:c r="F42" s="49"/>
      <x:c r="G42" s="49"/>
      <x:c r="H42" s="49"/>
      <x:c r="I42" s="49"/>
      <x:c r="J42" s="49"/>
      <x:c r="K42" s="49"/>
      <x:c r="L42" s="49"/>
      <x:c r="M42" s="49"/>
      <x:c r="N42" s="49"/>
      <x:c r="O42" s="49"/>
      <x:c r="P42" s="49"/>
      <x:c r="Q42" s="49"/>
    </x:row>
    <x:row r="43">
      <x:c r="A43" s="49"/>
      <x:c r="B43" s="49"/>
      <x:c r="C43" s="49"/>
      <x:c r="D43" s="49"/>
      <x:c r="E43" s="49"/>
      <x:c r="F43" s="49"/>
      <x:c r="G43" s="49"/>
      <x:c r="H43" s="49"/>
      <x:c r="I43" s="49"/>
      <x:c r="J43" s="49"/>
      <x:c r="K43" s="49"/>
      <x:c r="L43" s="49"/>
      <x:c r="M43" s="49"/>
      <x:c r="N43" s="49"/>
      <x:c r="O43" s="49"/>
      <x:c r="P43" s="49"/>
      <x:c r="Q43" s="49"/>
    </x:row>
    <x:row r="44">
      <x:c r="A44" s="49"/>
      <x:c r="B44" s="49"/>
      <x:c r="C44" s="49"/>
      <x:c r="D44" s="49"/>
      <x:c r="E44" s="49"/>
      <x:c r="F44" s="49"/>
      <x:c r="G44" s="49"/>
      <x:c r="H44" s="49"/>
      <x:c r="I44" s="49"/>
      <x:c r="J44" s="49"/>
      <x:c r="K44" s="49"/>
      <x:c r="L44" s="49"/>
      <x:c r="M44" s="49"/>
      <x:c r="N44" s="49"/>
      <x:c r="O44" s="49"/>
      <x:c r="P44" s="49"/>
      <x:c r="Q44" s="49"/>
    </x:row>
    <x:row r="45">
      <x:c r="A45" s="49"/>
      <x:c r="B45" s="49"/>
      <x:c r="C45" s="49"/>
      <x:c r="D45" s="49"/>
      <x:c r="E45" s="49"/>
      <x:c r="F45" s="49"/>
      <x:c r="G45" s="49"/>
      <x:c r="H45" s="49"/>
      <x:c r="I45" s="49"/>
      <x:c r="J45" s="49"/>
      <x:c r="K45" s="49"/>
      <x:c r="L45" s="49"/>
      <x:c r="M45" s="49"/>
      <x:c r="N45" s="49"/>
      <x:c r="O45" s="49"/>
      <x:c r="P45" s="49"/>
      <x:c r="Q45" s="49"/>
    </x:row>
    <x:row r="46">
      <x:c r="A46" s="49"/>
      <x:c r="B46" s="49"/>
      <x:c r="C46" s="49"/>
      <x:c r="D46" s="49"/>
      <x:c r="E46" s="49"/>
      <x:c r="F46" s="49"/>
      <x:c r="G46" s="49"/>
      <x:c r="H46" s="49"/>
      <x:c r="I46" s="49"/>
      <x:c r="J46" s="49"/>
      <x:c r="K46" s="49"/>
      <x:c r="L46" s="49"/>
      <x:c r="M46" s="49"/>
      <x:c r="N46" s="49"/>
      <x:c r="O46" s="49"/>
      <x:c r="P46" s="49"/>
      <x:c r="Q46" s="49"/>
    </x:row>
    <x:row r="47">
      <x:c r="A47" s="49"/>
      <x:c r="B47" s="49"/>
      <x:c r="C47" s="49"/>
      <x:c r="D47" s="49"/>
      <x:c r="E47" s="49"/>
      <x:c r="F47" s="49"/>
      <x:c r="G47" s="49"/>
      <x:c r="H47" s="49"/>
      <x:c r="I47" s="49"/>
      <x:c r="J47" s="49"/>
      <x:c r="K47" s="49"/>
      <x:c r="L47" s="49"/>
      <x:c r="M47" s="49"/>
      <x:c r="N47" s="49"/>
      <x:c r="O47" s="49"/>
      <x:c r="P47" s="49"/>
      <x:c r="Q47" s="49"/>
    </x:row>
    <x:row r="48">
      <x:c r="A48" s="49"/>
      <x:c r="B48" s="49"/>
      <x:c r="C48" s="49"/>
      <x:c r="D48" s="49"/>
      <x:c r="E48" s="49"/>
      <x:c r="F48" s="49"/>
      <x:c r="G48" s="49"/>
      <x:c r="H48" s="49"/>
      <x:c r="I48" s="49"/>
      <x:c r="J48" s="49"/>
      <x:c r="K48" s="49"/>
      <x:c r="L48" s="49"/>
      <x:c r="M48" s="49"/>
      <x:c r="N48" s="49"/>
      <x:c r="O48" s="49"/>
      <x:c r="P48" s="49"/>
      <x:c r="Q48" s="49"/>
    </x:row>
    <x:row r="49">
      <x:c r="A49" s="49"/>
      <x:c r="B49" s="49"/>
      <x:c r="C49" s="49"/>
      <x:c r="D49" s="49"/>
      <x:c r="E49" s="49"/>
      <x:c r="F49" s="49"/>
      <x:c r="G49" s="49"/>
      <x:c r="H49" s="49"/>
      <x:c r="I49" s="49"/>
      <x:c r="J49" s="49"/>
      <x:c r="K49" s="49"/>
      <x:c r="L49" s="49"/>
      <x:c r="M49" s="49"/>
      <x:c r="N49" s="49"/>
      <x:c r="O49" s="49"/>
      <x:c r="P49" s="49"/>
      <x:c r="Q49" s="49"/>
    </x:row>
    <x:row r="50">
      <x:c r="A50" s="49"/>
      <x:c r="B50" s="49"/>
      <x:c r="C50" s="49"/>
      <x:c r="D50" s="49"/>
      <x:c r="E50" s="49"/>
      <x:c r="F50" s="49"/>
      <x:c r="G50" s="49"/>
      <x:c r="H50" s="49"/>
      <x:c r="I50" s="49"/>
      <x:c r="J50" s="49"/>
      <x:c r="K50" s="49"/>
      <x:c r="L50" s="49"/>
      <x:c r="M50" s="49"/>
      <x:c r="N50" s="49"/>
      <x:c r="O50" s="49"/>
      <x:c r="P50" s="49"/>
      <x:c r="Q50" s="49"/>
    </x:row>
    <x:row r="51">
      <x:c r="A51" s="49"/>
      <x:c r="B51" s="49"/>
      <x:c r="C51" s="49"/>
      <x:c r="D51" s="49"/>
      <x:c r="E51" s="49"/>
      <x:c r="F51" s="49"/>
      <x:c r="G51" s="49"/>
      <x:c r="H51" s="49"/>
      <x:c r="I51" s="49"/>
      <x:c r="J51" s="49"/>
      <x:c r="K51" s="49"/>
      <x:c r="L51" s="49"/>
      <x:c r="M51" s="49"/>
      <x:c r="N51" s="49"/>
      <x:c r="O51" s="49"/>
      <x:c r="P51" s="49"/>
      <x:c r="Q51" s="49"/>
    </x:row>
    <x:row r="52">
      <x:c r="A52" s="50"/>
      <x:c r="B52" s="50"/>
      <x:c r="C52" s="50"/>
      <x:c r="D52" s="50"/>
      <x:c r="E52" s="50"/>
      <x:c r="F52" s="50"/>
      <x:c r="G52" s="50"/>
      <x:c r="H52" s="50"/>
      <x:c r="I52" s="50"/>
      <x:c r="J52" s="50"/>
      <x:c r="K52" s="50"/>
      <x:c r="L52" s="50"/>
      <x:c r="M52" s="50"/>
      <x:c r="N52" s="50"/>
      <x:c r="O52" s="50"/>
      <x:c r="P52" s="50"/>
      <x:c r="Q52" s="50"/>
    </x:row>
  </x:sheetData>
  <x:mergeCells>
    <x:mergeCell ref="A1:Q1"/>
  </x:mergeCells>
  <x:dataValidations count="2">
    <x:dataValidation type="list" sqref="G3:G52">
      <x:formula1>"DIALOGUE,BGM,AMBIENCE,FOLEY,ACTION,TRANSITION,STINGER,SILENCE,MIXED"</x:formula1>
    </x:dataValidation>
    <x:dataValidation type="list" sqref="O3:O52">
      <x:formula1>"是,否"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d1de83d9e19844cc"/>
  </x:tableParts>
</x:worksheet>
</file>